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0d73dd269a42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f2a7e42229e24f80"/>
    <x:sheet xmlns:r="http://schemas.openxmlformats.org/officeDocument/2006/relationships" name="Допущения" sheetId="2" r:id="R0459ee5eef454e80"/>
    <x:sheet xmlns:r="http://schemas.openxmlformats.org/officeDocument/2006/relationships" name="TCO" sheetId="3" r:id="R7a9524b539f446b2"/>
    <x:sheet xmlns:r="http://schemas.openxmlformats.org/officeDocument/2006/relationships" name="TCO - сервисы" sheetId="4" r:id="Rbb9a4ac3bad54540"/>
    <x:sheet xmlns:r="http://schemas.openxmlformats.org/officeDocument/2006/relationships" name="TCO - микросервисы" sheetId="5" r:id="R3f28cf1843654215"/>
  </x:sheets>
</x:workbook>
</file>

<file path=xl/sharedStrings.xml><?xml version="1.0" encoding="utf-8"?>
<x:sst xmlns:x="http://schemas.openxmlformats.org/spreadsheetml/2006/main">
  <x:si>
    <x:t xml:space="preserve">Модель TCO (Total Cost of Ownership) — кейс «Africa Delivery», горизонт 5 лет</x:t>
  </x:si>
  <x:si>
    <x:t xml:space="preserve">Зачем этот файл</x:t>
  </x:si>
  <x:si>
    <x:t xml:space="preserve">Оценить полную стоимость владения выбранным архитектурным вариантом на 5 лет и использовать цифры как аргумент в ADR №1 («Выбор архитектурного стиля»).</x:t>
  </x:si>
  <x:si>
    <x:t xml:space="preserve">Как использовать</x:t>
  </x:si>
  <x:si>
    <x:t xml:space="preserve">Заполни один и тот же шаблон для каждого рассматриваемого варианта (например: модульный монолит / SOA / микросервисы) — сравнивать нужно итоги, а не ощущения.</x:t>
  </x:si>
  <x:si>
    <x:t xml:space="preserve">Цветовая легенда</x:t>
  </x:si>
  <x:si>
    <x:t xml:space="preserve">Синий текст на жёлтом фоне</x:t>
  </x:si>
  <x:si>
    <x:t xml:space="preserve">Ячейки для заполнения. Только их и редактируем.</x:t>
  </x:si>
  <x:si>
    <x:t xml:space="preserve">Чёрный текст</x:t>
  </x:si>
  <x:si>
    <x:t xml:space="preserve">Формулы. Не трогаем — пересчитаются сами.</x:t>
  </x:si>
  <x:si>
    <x:t xml:space="preserve">Зелёный текст</x:t>
  </x:si>
  <x:si>
    <x:t xml:space="preserve">Ссылка на лист «Допущения».</x:t>
  </x:si>
  <x:si>
    <x:t xml:space="preserve">Порядок работы</x:t>
  </x:si>
  <x:si>
    <x:t xml:space="preserve">Шаг 1</x:t>
  </x:si>
  <x:si>
    <x:t xml:space="preserve">Лист «Допущения» → блок 1: вбить драйверы бизнеса по годам (активные пользователи, число заказов, средний чек). Из них считается GMV.</x:t>
  </x:si>
  <x:si>
    <x:t xml:space="preserve">Шаг 2</x:t>
  </x:si>
  <x:si>
    <x:t xml:space="preserve">Лист «Допущения» → блок 2: финансовые допущения (инфляция, рост ФОТ, ставка дисконтирования, резерв, целевой SLO).</x:t>
  </x:si>
  <x:si>
    <x:t xml:space="preserve">Шаг 3</x:t>
  </x:si>
  <x:si>
    <x:t xml:space="preserve">Лист «TCO» → в колонке «База, $/год (Год 1)» указать затраты первого года по каждой статье. Лишние статьи оставить пустыми, свои — дописать в свободные строки.</x:t>
  </x:si>
  <x:si>
    <x:t xml:space="preserve">Шаг 4</x:t>
  </x:si>
  <x:si>
    <x:t xml:space="preserve">Лист «TCO» → в колонке «Драйвер роста» выбрать из выпадающего списка, от чего растёт статья: фикс / инфляция / ФОТ / пользователи / заказы / GMV. Годы 2–5 посчитаются сами.</x:t>
  </x:si>
  <x:si>
    <x:t xml:space="preserve">Шаг 5</x:t>
  </x:si>
  <x:si>
    <x:t xml:space="preserve">Посмотреть блок «Ключевые метрики» внизу листа «TCO»: итог за 5 лет, NPV, стоимость на заказ, проверку бюджета CFO ($9k/мес на облако).</x:t>
  </x:si>
  <x:si>
    <x:t xml:space="preserve">Что важно не забыть в этом кейсе</x:t>
  </x:si>
  <x:si>
    <x:t xml:space="preserve">Бюджет CFO</x:t>
  </x:si>
  <x:si>
    <x:t xml:space="preserve">Цена простоя</x:t>
  </x:si>
  <x:si>
    <x:t xml:space="preserve">Инвестор оценивает минуту простоя в $12 000. Целевой SLO 99,99% = 52,6 мин/год ≈ $631k. Этот риск считается отдельным блоком — сравни его со стоимостью резервирования.</x:t>
  </x:si>
  <x:si>
    <x:t xml:space="preserve">Транзакционные расходы</x:t>
  </x:si>
  <x:si>
    <x:t xml:space="preserve">Комиссии M-Pesa / Flutterwave / Paystack, SMS и WhatsApp растут с GMV и числом заказов и на горизонте 5 лет обычно обгоняют инфраструктуру. Не забудь их — это типичная ошибка.</x:t>
  </x:si>
  <x:si>
    <x:t xml:space="preserve">Сравнение вариантов</x:t>
  </x:si>
  <x:si>
    <x:t xml:space="preserve">Транзакционные расходы (блок 3) почти одинаковы для любой архитектуры — это pass-through от оборота. Варианты архитектуры сравнивай по блокам 1, 2, 4 и 6.</x:t>
  </x:si>
  <x:si>
    <x:t xml:space="preserve">Разовые затраты</x:t>
  </x:si>
  <x:si>
    <x:t xml:space="preserve">Комплаенс-аудит NDPR/POPIA, пентест, миграция — если статья возникает не каждый год, просто перезапиши формулу в нужной ячейке года числом (и покрась в синий).</x:t>
  </x:si>
  <x:si>
    <x:t xml:space="preserve">Люди</x:t>
  </x:si>
  <x:si>
    <x:t xml:space="preserve">ФОТ команды — обычно самая крупная статья TCO. Микросервисы дешевле в масштабировании, но дороже в эксплуатации: это должно быть видно в цифрах, а не только в тексте ADR.</x:t>
  </x:si>
  <x:si>
    <x:t xml:space="preserve">Все числа в файле — примеры для демонстрации формата. Замени их своими оценками и укажи источник в колонке «Комментарий / источник».</x:t>
  </x:si>
  <x:si>
    <x:t xml:space="preserve">Допущения модели TCO — Africa Delivery</x:t>
  </x:si>
  <x:si>
    <x:t xml:space="preserve">Заполняются только ячейки с жёлтой заливкой. Все числа ниже — пример, заменить своими.</x:t>
  </x:si>
  <x:si>
    <x:t xml:space="preserve">1. Драйверы бизнеса — заполнить</x:t>
  </x:si>
  <x:si>
    <x:t xml:space="preserve">Показатель</x:t>
  </x:si>
  <x:si>
    <x:t xml:space="preserve">Год 1</x:t>
  </x:si>
  <x:si>
    <x:t xml:space="preserve">Год 2</x:t>
  </x:si>
  <x:si>
    <x:t xml:space="preserve">Год 3</x:t>
  </x:si>
  <x:si>
    <x:t xml:space="preserve">Год 4</x:t>
  </x:si>
  <x:si>
    <x:t xml:space="preserve">Год 5</x:t>
  </x:si>
  <x:si>
    <x:t xml:space="preserve">Комментарий / источник</x:t>
  </x:si>
  <x:si>
    <x:t xml:space="preserve">Активные пользователи (на конец года)</x:t>
  </x:si>
  <x:si>
    <x:t xml:space="preserve">Число заказов в год</x:t>
  </x:si>
  <x:si>
    <x:t xml:space="preserve">Средний чек (AOV), $</x:t>
  </x:si>
  <x:si>
    <x:t xml:space="preserve">GMV, $ в год (расчёт)</x:t>
  </x:si>
  <x:si>
    <x:t xml:space="preserve">2. Финансовые допущения — заполнить</x:t>
  </x:si>
  <x:si>
    <x:t xml:space="preserve">Параметр</x:t>
  </x:si>
  <x:si>
    <x:t xml:space="preserve">Значение</x:t>
  </x:si>
  <x:si>
    <x:t xml:space="preserve">Инфляция затрат, % в год</x:t>
  </x:si>
  <x:si>
    <x:t xml:space="preserve">Рост ФОТ, % в год</x:t>
  </x:si>
  <x:si>
    <x:t xml:space="preserve">Ставка дисконтирования, % в год</x:t>
  </x:si>
  <x:si>
    <x:t xml:space="preserve">Резерв на непредвиденное (contingency), %</x:t>
  </x:si>
  <x:si>
    <x:t xml:space="preserve">Бюджет CFO на облако, $/мес</x:t>
  </x:si>
  <x:si>
    <x:t xml:space="preserve">Стоимость минуты простоя, $</x:t>
  </x:si>
  <x:si>
    <x:t xml:space="preserve">Целевой SLO (доступность), %</x:t>
  </x:si>
  <x:si>
    <x:t xml:space="preserve">Учитывать стоимость простоя в TCO (1 — да, 0 — нет)</x:t>
  </x:si>
  <x:si>
    <x:t xml:space="preserve">3. Индексы роста — расчёт, не редактировать</x:t>
  </x:si>
  <x:si>
    <x:t xml:space="preserve">Драйвер</x:t>
  </x:si>
  <x:si>
    <x:t xml:space="preserve">Как считается</x:t>
  </x:si>
  <x:si>
    <x:t xml:space="preserve">фикс</x:t>
  </x:si>
  <x:si>
    <x:t xml:space="preserve">Затраты не меняются по годам</x:t>
  </x:si>
  <x:si>
    <x:t xml:space="preserve">инфляция</x:t>
  </x:si>
  <x:si>
    <x:t xml:space="preserve">Год N = Год N-1 × (1 + инфляция)</x:t>
  </x:si>
  <x:si>
    <x:t xml:space="preserve">ФОТ</x:t>
  </x:si>
  <x:si>
    <x:t xml:space="preserve">Год N = Год N-1 × (1 + рост ФОТ)</x:t>
  </x:si>
  <x:si>
    <x:t xml:space="preserve">пользователи</x:t>
  </x:si>
  <x:si>
    <x:t xml:space="preserve">Пропорционально числу активных пользователей</x:t>
  </x:si>
  <x:si>
    <x:t xml:space="preserve">заказы</x:t>
  </x:si>
  <x:si>
    <x:t xml:space="preserve">Пропорционально числу заказов</x:t>
  </x:si>
  <x:si>
    <x:t xml:space="preserve">GMV</x:t>
  </x:si>
  <x:si>
    <x:t xml:space="preserve">Пропорционально обороту</x:t>
  </x:si>
  <x:si>
    <x:t xml:space="preserve">Драйвер «пользователи» — упрощение: облачные расходы редко растут строго линейно (есть эффект масштаба и обратный эффект — рост нагрузки на БД). При желании введи свой драйвер отдельной строкой в таблице индексов.</x:t>
  </x:si>
  <x:si>
    <x:t xml:space="preserve">Заполняем колонки «Драйвер роста» и «База, $/год (Год 1)». Годы 1–5 считаются автоматически.</x:t>
  </x:si>
  <x:si>
    <x:t xml:space="preserve">Статья затрат</x:t>
  </x:si>
  <x:si>
    <x:t xml:space="preserve">Драйвер роста</x:t>
  </x:si>
  <x:si>
    <x:t xml:space="preserve">База, $/год (Год 1)</x:t>
  </x:si>
  <x:si>
    <x:t xml:space="preserve">Итого 5 лет</x:t>
  </x:si>
  <x:si>
    <x:t xml:space="preserve">Доля</x:t>
  </x:si>
  <x:si>
    <x:t xml:space="preserve">БЛОК 1. Облачная инфраструктура (OpEx)</x:t>
  </x:si>
  <x:si>
    <x:t xml:space="preserve">Compute: ноды / контейнеры / serverless</x:t>
  </x:si>
  <x:si>
    <x:t xml:space="preserve">AWS af-south-1, оценка по калькулятору</x:t>
  </x:si>
  <x:si>
    <x:t xml:space="preserve">Управляемые БД (PostgreSQL, реплики)</x:t>
  </x:si>
  <x:si>
    <x:t xml:space="preserve">Managed RDS + read replica</x:t>
  </x:si>
  <x:si>
    <x:t xml:space="preserve">Хранилище объектов и резервные копии</x:t>
  </x:si>
  <x:si>
    <x:t xml:space="preserve">Фото товаров, 5000 SKU на старте</x:t>
  </x:si>
  <x:si>
    <x:t xml:space="preserve">CDN и исходящий трафик</x:t>
  </x:si>
  <x:si>
    <x:t xml:space="preserve">70% трафика — мобильный 3G, картинки WebP</x:t>
  </x:si>
  <x:si>
    <x:t xml:space="preserve">Очереди / стриминг (Kafka, SQS)</x:t>
  </x:si>
  <x:si>
    <x:t xml:space="preserve">Асинхронные заказы и уведомления</x:t>
  </x:si>
  <x:si>
    <x:t xml:space="preserve">Резервный регион / DR</x:t>
  </x:si>
  <x:si>
    <x:t xml:space="preserve">Зависит от выбранной стратегии RTO/RPO</x:t>
  </x:si>
  <x:si>
    <x:t xml:space="preserve">Локальное размещение данных (NDPR, Нигерия)</x:t>
  </x:si>
  <x:si>
    <x:t xml:space="preserve">Локальный провайдер или партнёр — см. ADR №3</x:t>
  </x:si>
  <x:si>
    <x:t xml:space="preserve">Своя статья</x:t>
  </x:si>
  <x:si>
    <x:t xml:space="preserve">Итого по блоку</x:t>
  </x:si>
  <x:si>
    <x:t xml:space="preserve">БЛОК 2. Лицензии, SaaS и инструменты</x:t>
  </x:si>
  <x:si>
    <x:t xml:space="preserve">Observability (метрики, логи, трейсинг)</x:t>
  </x:si>
  <x:si>
    <x:t xml:space="preserve">Объём логов растёт с нагрузкой</x:t>
  </x:si>
  <x:si>
    <x:t xml:space="preserve">CI/CD, репозиторий, артефакты</x:t>
  </x:si>
  <x:si>
    <x:t xml:space="preserve">GitHub / GitLab, тарифы на команду</x:t>
  </x:si>
  <x:si>
    <x:t xml:space="preserve">Безопасность: WAF, секреты, антифрод</x:t>
  </x:si>
  <x:si>
    <x:t xml:space="preserve">Мошенничество на ПВЗ — риск из кейса</x:t>
  </x:si>
  <x:si>
    <x:t xml:space="preserve">WhatsApp Business API (подписка)</x:t>
  </x:si>
  <x:si>
    <x:t xml:space="preserve">Канал для продавцов без личного кабинета</x:t>
  </x:si>
  <x:si>
    <x:t xml:space="preserve">Прочее ПО и подписки</x:t>
  </x:si>
  <x:si>
    <x:t xml:space="preserve">БЛОК 3. Транзакционные расходы (Buy / Partner)</x:t>
  </x:si>
  <x:si>
    <x:t xml:space="preserve">Комиссии платёжных провайдеров</x:t>
  </x:si>
  <x:si>
    <x:t xml:space="preserve">SMS-уведомления</x:t>
  </x:si>
  <x:si>
    <x:t xml:space="preserve">≈$0,04 за SMS × заказы</x:t>
  </x:si>
  <x:si>
    <x:t xml:space="preserve">WhatsApp-сообщения (за диалог)</x:t>
  </x:si>
  <x:si>
    <x:t xml:space="preserve">Тариф Meta за conversation</x:t>
  </x:si>
  <x:si>
    <x:t xml:space="preserve">Логистика: интеграции и комиссии партнёров</x:t>
  </x:si>
  <x:si>
    <x:t xml:space="preserve">Sendbox (Нигерия), Sendy (Кения)</x:t>
  </x:si>
  <x:si>
    <x:t xml:space="preserve">БЛОК 4. Команда (ФОТ)</x:t>
  </x:si>
  <x:si>
    <x:t xml:space="preserve">Разработка (FTE × годовая ставка)</x:t>
  </x:si>
  <x:si>
    <x:t xml:space="preserve">Например 6 FTE × $60k. Зависит от арх. варианта!</x:t>
  </x:si>
  <x:si>
    <x:t xml:space="preserve">DevOps / SRE</x:t>
  </x:si>
  <x:si>
    <x:t xml:space="preserve">Микросервисы требуют больше SRE, чем монолит</x:t>
  </x:si>
  <x:si>
    <x:t xml:space="preserve">Поддержка и дежурства 24/7</x:t>
  </x:si>
  <x:si>
    <x:t xml:space="preserve">Требование mission critical: дежурство ночью</x:t>
  </x:si>
  <x:si>
    <x:t xml:space="preserve">Архитектура и менеджмент</x:t>
  </x:si>
  <x:si>
    <x:t xml:space="preserve">Solution Architect, CTO-функция, PM</x:t>
  </x:si>
  <x:si>
    <x:t xml:space="preserve">БЛОК 5. Разовые затраты и комплаенс</x:t>
  </x:si>
  <x:si>
    <x:t xml:space="preserve">Юридический и комплаенс-аудит (NDPR, POPIA, KICA)</x:t>
  </x:si>
  <x:si>
    <x:t xml:space="preserve">Разовая статья — обнули лишние годы вручную</x:t>
  </x:si>
  <x:si>
    <x:t xml:space="preserve">Пентест и аудит безопасности</x:t>
  </x:si>
  <x:si>
    <x:t xml:space="preserve">Ежегодно, если mission critical</x:t>
  </x:si>
  <x:si>
    <x:t xml:space="preserve">Миграция данных и интеграции при запуске</x:t>
  </x:si>
  <x:si>
    <x:t xml:space="preserve">Разовая статья</x:t>
  </x:si>
  <x:si>
    <x:t xml:space="preserve">Обучение команды и найм</x:t>
  </x:si>
  <x:si>
    <x:t xml:space="preserve">Дефицит локальных ИТ-специалистов</x:t>
  </x:si>
  <x:si>
    <x:t xml:space="preserve">Резерв на непредвиденное (contingency)</x:t>
  </x:si>
  <x:si>
    <x:t xml:space="preserve">Расчёт: сумма блоков 1–5 × ставка резерва с листа «Допущения»</x:t>
  </x:si>
  <x:si>
    <x:t xml:space="preserve">ИТОГО прямые затраты (TCO без учёта простоев)</x:t>
  </x:si>
  <x:si>
    <x:t xml:space="preserve">БЛОК 6. Стоимость недоступности (риск)</x:t>
  </x:si>
  <x:si>
    <x:t xml:space="preserve">Ожидаемые потери из-за простоя при целевом SLO</x:t>
  </x:si>
  <x:si>
    <x:t xml:space="preserve">Расчёт: (1 − SLO) × 525 600 мин/год × стоимость минуты × переключатель. 525 600 — число минут в году</x:t>
  </x:si>
  <x:si>
    <x:t xml:space="preserve">ИТОГО TCO с учётом стоимости простоя</x:t>
  </x:si>
  <x:si>
    <x:t xml:space="preserve">Коэффициент дисконтирования</x:t>
  </x:si>
  <x:si>
    <x:t xml:space="preserve">Дисконтированный TCO (NPV затрат)</x:t>
  </x:si>
  <x:si>
    <x:t xml:space="preserve">Ключевые метрики</x:t>
  </x:si>
  <x:si>
    <x:t xml:space="preserve">TCO за 5 лет, прямые затраты</x:t>
  </x:si>
  <x:si>
    <x:t xml:space="preserve">Основная цифра для сравнения вариантов в ADR</x:t>
  </x:si>
  <x:si>
    <x:t xml:space="preserve">TCO за 5 лет с учётом простоя</x:t>
  </x:si>
  <x:si>
    <x:t xml:space="preserve">Показывает цену недоступности для mission critical</x:t>
  </x:si>
  <x:si>
    <x:t xml:space="preserve">NPV затрат за 5 лет</x:t>
  </x:si>
  <x:si>
    <x:t xml:space="preserve">Затраты, приведённые к сегодняшнему дню</x:t>
  </x:si>
  <x:si>
    <x:t xml:space="preserve">Средние затраты в год</x:t>
  </x:si>
  <x:si>
    <x:t xml:space="preserve">Ориентир для планирования бюджета</x:t>
  </x:si>
  <x:si>
    <x:t xml:space="preserve">Облако, $/мес в Год 1</x:t>
  </x:si>
  <x:si>
    <x:t xml:space="preserve">Сравнивается с лимитом CFO</x:t>
  </x:si>
  <x:si>
    <x:t xml:space="preserve">Проверка бюджета CFO на Год 1</x:t>
  </x:si>
  <x:si>
    <x:t xml:space="preserve">Если превышение — объясни в ADR, чем жертвуешь</x:t>
  </x:si>
  <x:si>
    <x:t xml:space="preserve">TCO на 1 заказ за 5 лет</x:t>
  </x:si>
  <x:si>
    <x:t xml:space="preserve">Юнит-экономика: сколько ИТ стоит в одном заказе</x:t>
  </x:si>
  <x:si>
    <x:t xml:space="preserve">TCO на 1 активного пользователя (Год 5)</x:t>
  </x:si>
  <x:si>
    <x:t xml:space="preserve">Проверка масштабируемости модели</x:t>
  </x:si>
  <x:si>
    <x:t xml:space="preserve">Затраты ИТ как доля GMV за 5 лет</x:t>
  </x:si>
  <x:si>
    <x:t xml:space="preserve">Здоровый маркетплейс — единицы процентов</x:t>
  </x:si>
  <x:si>
    <x:t xml:space="preserve">Доля облачной инфраструктуры в TCO</x:t>
  </x:si>
  <x:si>
    <x:t xml:space="preserve">Обычно меньше, чем ожидают студенты</x:t>
  </x:si>
  <x:si>
    <x:t xml:space="preserve">Доля транзакционных расходов в TCO</x:t>
  </x:si>
  <x:si>
    <x:t xml:space="preserve">Растёт быстрее всего вместе с GMV</x:t>
  </x:si>
  <x:si>
    <x:t xml:space="preserve">Доля команды (ФОТ) в TCO</x:t>
  </x:si>
  <x:si>
    <x:t xml:space="preserve">Как правило, крупнейшая статья</x:t>
  </x:si>
  <x:si>
    <x:t xml:space="preserve">Вывод для ADR (заполнить текстом): какой вариант дешевле, за счёт чего, и какие допущения сильнее всего влияют на результат?</x:t>
  </x:si>
</x:sst>
</file>

<file path=xl/styles.xml><?xml version="1.0" encoding="utf-8"?>
<x:styleSheet xmlns:x="http://schemas.openxmlformats.org/spreadsheetml/2006/main">
  <x:numFmts count="8">
    <x:numFmt numFmtId="164" formatCode="\$#,##0.00;&quot;($&quot;#,##0.00\);\-"/>
    <x:numFmt numFmtId="165" formatCode="\$#,##0;&quot;($&quot;#,##0\);\-"/>
    <x:numFmt numFmtId="166" formatCode="0.0%"/>
    <x:numFmt numFmtId="167" formatCode="0.000%"/>
    <x:numFmt numFmtId="168" formatCode="0.000"/>
    <x:numFmt numFmtId="200" formatCode="$#,##0;[Red]-$#,##0;-"/>
    <x:numFmt numFmtId="201" formatCode="$#,##0"/>
    <x:numFmt numFmtId="202" formatCode="$0.00"/>
  </x:numFmts>
  <x:fonts count="25">
    <x:font>
      <x:sz val="11"/>
      <x:color theme="1"/>
      <x:name val="Calibri"/>
    </x:font>
    <x:font>
      <x:b/>
      <x:sz val="14"/>
      <x:color theme="1"/>
      <x:name val="Arial"/>
    </x:font>
    <x:font>
      <x:b/>
      <x:sz val="10"/>
      <x:color theme="1"/>
      <x:name val="Arial"/>
    </x:font>
    <x:font>
      <x:sz val="10"/>
      <x:color theme="1"/>
      <x:name val="Arial"/>
    </x:font>
    <x:font>
      <x:b/>
      <x:sz val="11"/>
      <x:color theme="1"/>
      <x:name val="Arial"/>
    </x:font>
    <x:font>
      <x:sz val="11"/>
      <x:color theme="1"/>
      <x:name val="Calibri"/>
    </x:font>
    <x:font>
      <x:i/>
      <x:sz val="9"/>
      <x:color rgb="FF808080"/>
      <x:name val="Arial"/>
    </x:font>
    <x:font>
      <x:b/>
      <x:sz val="11"/>
      <x:color rgb="FFFFFFFF"/>
      <x:name val="Arial"/>
    </x:font>
    <x:font>
      <x:b/>
      <x:sz val="10"/>
      <x:color rgb="FFC00000"/>
      <x:name val="Arial"/>
    </x:font>
    <x:font>
      <x:sz val="10"/>
      <x:color rgb="FF0000FF"/>
      <x:name val="Arial"/>
    </x:font>
    <x:font>
      <x:color theme="1"/>
      <x:name val="Calibri"/>
    </x:font>
    <x:font>
      <x:sz val="10"/>
      <x:color rgb="FF008000"/>
      <x:name val="Arial"/>
    </x:font>
    <x:font/>
    <x:font>
      <x:b/>
      <x:sz val="10"/>
      <x:color rgb="FF1F2937"/>
      <x:name val="Arial"/>
    </x:font>
    <x:font>
      <x:sz val="10"/>
      <x:color rgb="FF1F2937"/>
      <x:name val="Arial"/>
    </x:font>
    <x:font>
      <x:i/>
      <x:sz val="10"/>
      <x:color rgb="FF1F2937"/>
      <x:name val="Arial"/>
    </x:font>
    <x:font>
      <x:b/>
      <x:sz val="16"/>
      <x:color rgb="FF111827"/>
      <x:name val="Arial"/>
    </x:font>
    <x:font>
      <x:i/>
      <x:sz val="9"/>
      <x:color rgb="FF6B7280"/>
      <x:name val="Arial"/>
    </x:font>
    <x:font>
      <x:b/>
      <x:sz val="10"/>
      <x:color rgb="FFFFFFFF"/>
      <x:name val="Arial"/>
    </x:font>
    <x:font>
      <x:b/>
      <x:sz val="10"/>
      <x:color rgb="FF111827"/>
      <x:name val="Arial"/>
    </x:font>
    <x:font>
      <x:b/>
      <x:sz val="10"/>
      <x:color rgb="FF1F4E79"/>
      <x:name val="Arial"/>
    </x:font>
    <x:font>
      <x:sz val="10"/>
      <x:color rgb="FF111827"/>
      <x:name val="Arial"/>
    </x:font>
    <x:font>
      <x:b/>
      <x:i/>
      <x:sz val="9"/>
      <x:color rgb="FF7F7F7F"/>
      <x:name val="Arial"/>
    </x:font>
    <x:font>
      <x:i/>
      <x:sz val="9"/>
      <x:color rgb="FF7F7F7F"/>
      <x:name val="Arial"/>
    </x:font>
    <x:font>
      <x:sz val="11"/>
      <x:color theme="1"/>
      <x:name val="Arial"/>
    </x:font>
  </x:fonts>
  <x:fills count="12">
    <x:fill>
      <x:patternFill patternType="none"/>
    </x:fill>
    <x:fill>
      <x:patternFill patternType="lightGray"/>
    </x:fill>
    <x:fill>
      <x:patternFill patternType="solid">
        <x:fgColor rgb="FFD9E2F3"/>
      </x:patternFill>
    </x:fill>
    <x:fill>
      <x:patternFill patternType="solid">
        <x:fgColor rgb="FF1F3864"/>
      </x:patternFill>
    </x:fill>
    <x:fill>
      <x:patternFill patternType="solid">
        <x:fgColor rgb="FFFFFF99"/>
      </x:patternFill>
    </x:fill>
    <x:fill>
      <x:patternFill patternType="solid">
        <x:fgColor rgb="FFEDEDED"/>
      </x:patternFill>
    </x:fill>
    <x:fill>
      <x:patternFill patternType="solid">
        <x:fgColor rgb="FFFCE4D6"/>
      </x:patternFill>
    </x:fill>
    <x:fill>
      <x:patternFill patternType="solid">
        <x:fgColor rgb="FF203864"/>
      </x:patternFill>
    </x:fill>
    <x:fill>
      <x:patternFill patternType="solid">
        <x:fgColor rgb="FFD9E2F3"/>
      </x:patternFill>
    </x:fill>
    <x:fill>
      <x:patternFill patternType="solid">
        <x:fgColor rgb="FFE7E6E6"/>
      </x:patternFill>
    </x:fill>
    <x:fill>
      <x:patternFill patternType="solid">
        <x:fgColor rgb="FFFFF99B"/>
      </x:patternFill>
    </x:fill>
    <x:fill>
      <x:patternFill patternType="solid">
        <x:fgColor rgb="FFFCE4D6"/>
      </x:patternFill>
    </x:fill>
  </x:fills>
  <x:borders count="13">
    <x:border/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top style="thin">
        <x:color rgb="FFBFBFBF"/>
      </x:top>
      <x:bottom style="thin">
        <x:color rgb="FFBFBFBF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</x:borders>
  <x:cellStyleXfs count="1">
    <x:xf numFmtId="0" fontId="0" fillId="0" borderId="0" applyFont="1" applyAlignment="1"/>
  </x:cellStyleXfs>
  <x:cellXfs count="233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vertical="bottom" wrapText="0"/>
    </x:xf>
    <x:xf numFmtId="0" fontId="2" fillId="0" borderId="0" xfId="0" applyFont="1" applyAlignment="1">
      <x:alignment vertical="bottom" wrapText="0"/>
    </x:xf>
    <x:xf numFmtId="0" fontId="3" fillId="0" borderId="0" xfId="0" applyFont="1" applyAlignment="1">
      <x:alignment vertical="top" wrapText="1"/>
    </x:xf>
    <x:xf numFmtId="0" fontId="4" fillId="2" borderId="1" xfId="0" applyFont="1" applyFill="1" applyBorder="1" applyAlignment="1">
      <x:alignment vertical="bottom" wrapText="0"/>
    </x:xf>
    <x:xf numFmtId="0" fontId="5" fillId="2" borderId="1" xfId="0" applyFont="1" applyFill="1" applyBorder="1" applyAlignment="1">
      <x:alignment vertical="bottom" wrapText="0"/>
    </x:xf>
    <x:xf numFmtId="0" fontId="6" fillId="0" borderId="0" xfId="0" applyFont="1" applyAlignment="1">
      <x:alignment vertical="bottom" wrapText="0"/>
    </x:xf>
    <x:xf numFmtId="0" fontId="4" fillId="2" borderId="2" xfId="0" applyFont="1" applyFill="1" applyBorder="1" applyAlignment="1">
      <x:alignment vertical="bottom" wrapText="0"/>
    </x:xf>
    <x:xf numFmtId="0" fontId="5" fillId="2" borderId="2" xfId="0" applyFont="1" applyFill="1" applyBorder="1" applyAlignment="1">
      <x:alignment vertical="bottom" wrapText="0"/>
    </x:xf>
    <x:xf numFmtId="0" fontId="7" fillId="3" borderId="2" xfId="0" applyFont="1" applyFill="1" applyBorder="1" applyAlignment="1">
      <x:alignment horizontal="center" vertical="center" wrapText="1"/>
    </x:xf>
    <x:xf numFmtId="0" fontId="8" fillId="0" borderId="0" xfId="0" applyFont="1" applyAlignment="1">
      <x:alignment vertical="top" wrapText="1"/>
    </x:xf>
    <x:xf numFmtId="0" fontId="3" fillId="0" borderId="2" xfId="0" applyFont="1" applyBorder="1" applyAlignment="1">
      <x:alignment vertical="bottom" wrapText="0"/>
    </x:xf>
    <x:xf numFmtId="3" fontId="9" fillId="4" borderId="2" xfId="0" applyNumberFormat="1" applyFont="1" applyFill="1" applyBorder="1" applyAlignment="1">
      <x:alignment vertical="bottom" wrapText="0"/>
    </x:xf>
    <x:xf numFmtId="0" fontId="6" fillId="0" borderId="0" xfId="0" applyFont="1" applyAlignment="1">
      <x:alignment vertical="top" wrapText="1"/>
    </x:xf>
    <x:xf numFmtId="164" fontId="9" fillId="4" borderId="2" xfId="0" applyNumberFormat="1" applyFont="1" applyFill="1" applyBorder="1" applyAlignment="1">
      <x:alignment vertical="bottom" wrapText="0"/>
    </x:xf>
    <x:xf numFmtId="0" fontId="2" fillId="0" borderId="2" xfId="0" applyFont="1" applyBorder="1" applyAlignment="1">
      <x:alignment vertical="bottom" wrapText="0"/>
    </x:xf>
    <x:xf numFmtId="165" fontId="2" fillId="0" borderId="2" xfId="0" applyNumberFormat="1" applyFont="1" applyBorder="1" applyAlignment="1">
      <x:alignment vertical="bottom" wrapText="0"/>
    </x:xf>
    <x:xf numFmtId="0" fontId="9" fillId="4" borderId="2" xfId="0" applyFont="1" applyFill="1" applyBorder="1" applyAlignment="1">
      <x:alignment vertical="bottom" wrapText="0"/>
    </x:xf>
    <x:xf numFmtId="165" fontId="9" fillId="4" borderId="2" xfId="0" applyNumberFormat="1" applyFont="1" applyFill="1" applyBorder="1" applyAlignment="1">
      <x:alignment vertical="bottom" wrapText="0"/>
    </x:xf>
    <x:xf numFmtId="166" fontId="9" fillId="4" borderId="2" xfId="0" applyNumberFormat="1" applyFont="1" applyFill="1" applyBorder="1" applyAlignment="1">
      <x:alignment vertical="bottom" wrapText="0"/>
    </x:xf>
    <x:xf numFmtId="167" fontId="9" fillId="4" borderId="2" xfId="0" applyNumberFormat="1" applyFont="1" applyFill="1" applyBorder="1" applyAlignment="1">
      <x:alignment vertical="bottom" wrapText="0"/>
    </x:xf>
    <x:xf numFmtId="1" fontId="9" fillId="4" borderId="2" xfId="0" applyNumberFormat="1" applyFont="1" applyFill="1" applyBorder="1" applyAlignment="1">
      <x:alignment vertical="bottom" wrapText="0"/>
    </x:xf>
    <x:xf numFmtId="2" fontId="3" fillId="0" borderId="2" xfId="0" applyNumberFormat="1" applyFont="1" applyBorder="1" applyAlignment="1">
      <x:alignment vertical="bottom" wrapText="0"/>
    </x:xf>
    <x:xf numFmtId="165" fontId="3" fillId="0" borderId="2" xfId="0" applyNumberFormat="1" applyFont="1" applyBorder="1" applyAlignment="1">
      <x:alignment vertical="bottom" wrapText="0"/>
    </x:xf>
    <x:xf numFmtId="0" fontId="5" fillId="0" borderId="2" xfId="0" applyFont="1" applyBorder="1" applyAlignment="1">
      <x:alignment vertical="bottom" wrapText="0"/>
    </x:xf>
    <x:xf numFmtId="0" fontId="6" fillId="0" borderId="2" xfId="0" applyFont="1" applyBorder="1" applyAlignment="1">
      <x:alignment vertical="top" wrapText="1"/>
    </x:xf>
    <x:xf numFmtId="0" fontId="2" fillId="5" borderId="2" xfId="0" applyFont="1" applyFill="1" applyBorder="1" applyAlignment="1">
      <x:alignment vertical="bottom" wrapText="0"/>
    </x:xf>
    <x:xf numFmtId="0" fontId="5" fillId="5" borderId="2" xfId="0" applyFont="1" applyFill="1" applyBorder="1" applyAlignment="1">
      <x:alignment vertical="bottom" wrapText="0"/>
    </x:xf>
    <x:xf numFmtId="165" fontId="2" fillId="5" borderId="2" xfId="0" applyNumberFormat="1" applyFont="1" applyFill="1" applyBorder="1" applyAlignment="1">
      <x:alignment vertical="bottom" wrapText="0"/>
    </x:xf>
    <x:xf numFmtId="166" fontId="2" fillId="5" borderId="2" xfId="0" applyNumberFormat="1" applyFont="1" applyFill="1" applyBorder="1" applyAlignment="1">
      <x:alignment vertical="bottom" wrapText="0"/>
    </x:xf>
    <x:xf numFmtId="0" fontId="10" fillId="0" borderId="0" xfId="0" applyFont="1"/>
    <x:xf numFmtId="165" fontId="11" fillId="0" borderId="2" xfId="0" applyNumberFormat="1" applyFont="1" applyBorder="1" applyAlignment="1">
      <x:alignment vertical="bottom" wrapText="0"/>
    </x:xf>
    <x:xf numFmtId="168" fontId="11" fillId="0" borderId="2" xfId="0" applyNumberFormat="1" applyFont="1" applyBorder="1" applyAlignment="1">
      <x:alignment vertical="bottom" wrapText="0"/>
    </x:xf>
    <x:xf numFmtId="165" fontId="2" fillId="6" borderId="3" xfId="0" applyNumberFormat="1" applyFont="1" applyFill="1" applyBorder="1" applyAlignment="1">
      <x:alignment vertical="bottom" wrapText="0"/>
    </x:xf>
    <x:xf numFmtId="0" fontId="12" fillId="0" borderId="4" xfId="0" applyFont="1" applyBorder="1"/>
    <x:xf numFmtId="0" fontId="2" fillId="6" borderId="3" xfId="0" applyFont="1" applyFill="1" applyBorder="1" applyAlignment="1">
      <x:alignment vertical="bottom" wrapText="0"/>
    </x:xf>
    <x:xf numFmtId="164" fontId="2" fillId="6" borderId="3" xfId="0" applyNumberFormat="1" applyFont="1" applyFill="1" applyBorder="1" applyAlignment="1">
      <x:alignment vertical="bottom" wrapText="0"/>
    </x:xf>
    <x:xf numFmtId="10" fontId="2" fillId="6" borderId="3" xfId="0" applyNumberFormat="1" applyFont="1" applyFill="1" applyBorder="1" applyAlignment="1">
      <x:alignment vertical="bottom" wrapText="0"/>
    </x:xf>
    <x:xf numFmtId="166" fontId="2" fillId="6" borderId="3" xfId="0" applyNumberFormat="1" applyFont="1" applyFill="1" applyBorder="1" applyAlignment="1">
      <x:alignment vertical="bottom" wrapText="0"/>
    </x:xf>
    <x:xf numFmtId="0" fontId="4" fillId="0" borderId="0" xfId="0" applyFont="1" applyAlignment="1">
      <x:alignment vertical="bottom" wrapText="0"/>
    </x:xf>
    <x:xf numFmtId="0" fontId="9" fillId="4" borderId="5" xfId="0" applyFont="1" applyFill="1" applyBorder="1" applyAlignment="1">
      <x:alignment vertical="top" wrapText="1"/>
    </x:xf>
    <x:xf numFmtId="0" fontId="12" fillId="0" borderId="6" xfId="0" applyFont="1" applyBorder="1"/>
    <x:xf numFmtId="0" fontId="12" fillId="0" borderId="7" xfId="0" applyFont="1" applyBorder="1"/>
    <x:xf numFmtId="0" fontId="12" fillId="0" borderId="8" xfId="0" applyFont="1" applyBorder="1"/>
    <x:xf numFmtId="0" fontId="12" fillId="0" borderId="9" xfId="0" applyFont="1" applyBorder="1"/>
    <x:xf numFmtId="0" fontId="12" fillId="0" borderId="10" xfId="0" applyFont="1" applyBorder="1"/>
    <x:xf numFmtId="0" fontId="12" fillId="0" borderId="11" xfId="0" applyFont="1" applyBorder="1"/>
    <x:xf numFmtId="0" fontId="12" fillId="0" borderId="12" xfId="0" applyFont="1" applyBorder="1"/>
    <x:xf numFmtId="0" fontId="12" fillId="0" borderId="8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bottom" wrapText="1"/>
    </x:xf>
    <x:xf numFmtId="0" fontId="12" fillId="0" borderId="9" xfId="0" applyNumberFormat="1" applyFont="1" applyFill="1" applyBorder="1" applyAlignment="1">
      <x:alignment wrapText="1"/>
    </x:xf>
    <x:xf numFmtId="0" fontId="12" fillId="0" borderId="10" xfId="0" applyNumberFormat="1" applyFont="1" applyFill="1" applyBorder="1" applyAlignment="1">
      <x:alignment wrapText="1"/>
    </x:xf>
    <x:xf numFmtId="0" fontId="12" fillId="0" borderId="11" xfId="0" applyNumberFormat="1" applyFont="1" applyFill="1" applyBorder="1" applyAlignment="1">
      <x:alignment wrapText="1"/>
    </x:xf>
    <x:xf numFmtId="0" fontId="12" fillId="0" borderId="12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vertical="bottom" wrapText="0"/>
    </x:xf>
    <x:xf numFmtId="0" fontId="14" fillId="0" borderId="0" xfId="0" applyNumberFormat="1" applyFont="1" applyFill="1" applyBorder="1" applyAlignment="1">
      <x:alignment vertical="bottom" wrapText="0"/>
    </x:xf>
    <x:xf numFmtId="0" fontId="15" fillId="0" borderId="0" xfId="0" applyNumberFormat="1" applyFont="1" applyFill="1" applyBorder="1" applyAlignment="1">
      <x:alignment vertical="bottom" wrapText="0"/>
    </x:xf>
    <x:xf numFmtId="0" fontId="13" fillId="3" borderId="2" xfId="0" applyNumberFormat="1" applyFont="1" applyFill="1" applyBorder="1" applyAlignment="1">
      <x:alignment horizontal="center" vertical="center" wrapText="1"/>
    </x:xf>
    <x:xf numFmtId="0" fontId="13" fillId="2" borderId="2" xfId="0" applyNumberFormat="1" applyFont="1" applyFill="1" applyBorder="1" applyAlignment="1">
      <x:alignment vertical="bottom" wrapText="0"/>
    </x:xf>
    <x:xf numFmtId="0" fontId="14" fillId="2" borderId="2" xfId="0" applyNumberFormat="1" applyFont="1" applyFill="1" applyBorder="1" applyAlignment="1">
      <x:alignment vertical="bottom" wrapText="0"/>
    </x:xf>
    <x:xf numFmtId="0" fontId="14" fillId="0" borderId="2" xfId="0" applyNumberFormat="1" applyFont="1" applyFill="1" applyBorder="1" applyAlignment="1">
      <x:alignment vertical="bottom" wrapText="0"/>
    </x:xf>
    <x:xf numFmtId="0" fontId="14" fillId="4" borderId="2" xfId="0" applyNumberFormat="1" applyFont="1" applyFill="1" applyBorder="1" applyAlignment="1">
      <x:alignment vertical="bottom" wrapText="0"/>
    </x:xf>
    <x:xf numFmtId="165" fontId="14" fillId="4" borderId="2" xfId="0" applyNumberFormat="1" applyFont="1" applyFill="1" applyBorder="1" applyAlignment="1">
      <x:alignment vertical="bottom" wrapText="0"/>
    </x:xf>
    <x:xf numFmtId="165" fontId="14" fillId="0" borderId="2" xfId="0" applyNumberFormat="1" applyFont="1" applyFill="1" applyBorder="1" applyAlignment="1">
      <x:alignment vertical="bottom" wrapText="0"/>
    </x:xf>
    <x:xf numFmtId="0" fontId="15" fillId="0" borderId="2" xfId="0" applyNumberFormat="1" applyFont="1" applyFill="1" applyBorder="1" applyAlignment="1">
      <x:alignment vertical="top" wrapText="1"/>
    </x:xf>
    <x:xf numFmtId="0" fontId="13" fillId="5" borderId="2" xfId="0" applyNumberFormat="1" applyFont="1" applyFill="1" applyBorder="1" applyAlignment="1">
      <x:alignment vertical="bottom" wrapText="0"/>
    </x:xf>
    <x:xf numFmtId="0" fontId="14" fillId="5" borderId="2" xfId="0" applyNumberFormat="1" applyFont="1" applyFill="1" applyBorder="1" applyAlignment="1">
      <x:alignment vertical="bottom" wrapText="0"/>
    </x:xf>
    <x:xf numFmtId="165" fontId="13" fillId="5" borderId="2" xfId="0" applyNumberFormat="1" applyFont="1" applyFill="1" applyBorder="1" applyAlignment="1">
      <x:alignment vertical="bottom" wrapText="0"/>
    </x:xf>
    <x:xf numFmtId="166" fontId="13" fillId="5" borderId="2" xfId="0" applyNumberFormat="1" applyFont="1" applyFill="1" applyBorder="1" applyAlignment="1">
      <x:alignment vertical="bottom" wrapText="0"/>
    </x:xf>
    <x:xf numFmtId="0" fontId="14" fillId="0" borderId="0" xfId="0" applyNumberFormat="1" applyFont="1" applyFill="1" applyBorder="1"/>
    <x:xf numFmtId="0" fontId="13" fillId="0" borderId="2" xfId="0" applyNumberFormat="1" applyFont="1" applyFill="1" applyBorder="1" applyAlignment="1">
      <x:alignment vertical="bottom" wrapText="0"/>
    </x:xf>
    <x:xf numFmtId="0" fontId="15" fillId="0" borderId="0" xfId="0" applyNumberFormat="1" applyFont="1" applyFill="1" applyBorder="1" applyAlignment="1">
      <x:alignment vertical="top" wrapText="1"/>
    </x:xf>
    <x:xf numFmtId="168" fontId="14" fillId="0" borderId="2" xfId="0" applyNumberFormat="1" applyFont="1" applyFill="1" applyBorder="1" applyAlignment="1">
      <x:alignment vertical="bottom" wrapText="0"/>
    </x:xf>
    <x:xf numFmtId="165" fontId="13" fillId="6" borderId="3" xfId="0" applyNumberFormat="1" applyFont="1" applyFill="1" applyBorder="1" applyAlignment="1">
      <x:alignment vertical="bottom" wrapText="0"/>
    </x:xf>
    <x:xf numFmtId="0" fontId="14" fillId="0" borderId="4" xfId="0" applyNumberFormat="1" applyFont="1" applyFill="1" applyBorder="1"/>
    <x:xf numFmtId="0" fontId="13" fillId="6" borderId="3" xfId="0" applyNumberFormat="1" applyFont="1" applyFill="1" applyBorder="1" applyAlignment="1">
      <x:alignment vertical="bottom" wrapText="0"/>
    </x:xf>
    <x:xf numFmtId="164" fontId="13" fillId="6" borderId="3" xfId="0" applyNumberFormat="1" applyFont="1" applyFill="1" applyBorder="1" applyAlignment="1">
      <x:alignment vertical="bottom" wrapText="0"/>
    </x:xf>
    <x:xf numFmtId="10" fontId="13" fillId="6" borderId="3" xfId="0" applyNumberFormat="1" applyFont="1" applyFill="1" applyBorder="1" applyAlignment="1">
      <x:alignment vertical="bottom" wrapText="0"/>
    </x:xf>
    <x:xf numFmtId="166" fontId="13" fillId="6" borderId="3" xfId="0" applyNumberFormat="1" applyFont="1" applyFill="1" applyBorder="1" applyAlignment="1">
      <x:alignment vertical="bottom" wrapText="0"/>
    </x:xf>
    <x:xf numFmtId="0" fontId="14" fillId="4" borderId="5" xfId="0" applyNumberFormat="1" applyFont="1" applyFill="1" applyBorder="1" applyAlignment="1">
      <x:alignment vertical="top" wrapText="1"/>
    </x:xf>
    <x:xf numFmtId="0" fontId="14" fillId="0" borderId="6" xfId="0" applyNumberFormat="1" applyFont="1" applyFill="1" applyBorder="1"/>
    <x:xf numFmtId="0" fontId="14" fillId="0" borderId="7" xfId="0" applyNumberFormat="1" applyFont="1" applyFill="1" applyBorder="1"/>
    <x:xf numFmtId="0" fontId="14" fillId="0" borderId="8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vertical="bottom" wrapText="1"/>
    </x:xf>
    <x:xf numFmtId="0" fontId="14" fillId="0" borderId="9" xfId="0" applyNumberFormat="1" applyFont="1" applyFill="1" applyBorder="1" applyAlignment="1">
      <x:alignment wrapText="1"/>
    </x:xf>
    <x:xf numFmtId="0" fontId="14" fillId="0" borderId="10" xfId="0" applyNumberFormat="1" applyFont="1" applyFill="1" applyBorder="1" applyAlignment="1">
      <x:alignment wrapText="1"/>
    </x:xf>
    <x:xf numFmtId="0" fontId="14" fillId="0" borderId="11" xfId="0" applyNumberFormat="1" applyFont="1" applyFill="1" applyBorder="1" applyAlignment="1">
      <x:alignment wrapText="1"/>
    </x:xf>
    <x:xf numFmtId="0" fontId="14" fillId="0" borderId="12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vertical="center" wrapText="0"/>
    </x:xf>
    <x:xf numFmtId="0" fontId="14" fillId="0" borderId="0" xfId="0" applyNumberFormat="1" applyFont="1" applyFill="1" applyBorder="1" applyAlignment="1">
      <x:alignment vertical="center" wrapText="0"/>
    </x:xf>
    <x:xf numFmtId="0" fontId="15" fillId="0" borderId="0" xfId="0" applyNumberFormat="1" applyFont="1" applyFill="1" applyBorder="1" applyAlignment="1">
      <x:alignment vertical="center" wrapText="0"/>
    </x:xf>
    <x:xf numFmtId="0" fontId="13" fillId="2" borderId="2" xfId="0" applyNumberFormat="1" applyFont="1" applyFill="1" applyBorder="1" applyAlignment="1">
      <x:alignment vertical="center" wrapText="0"/>
    </x:xf>
    <x:xf numFmtId="0" fontId="14" fillId="2" borderId="2" xfId="0" applyNumberFormat="1" applyFont="1" applyFill="1" applyBorder="1" applyAlignment="1">
      <x:alignment vertical="center" wrapText="0"/>
    </x:xf>
    <x:xf numFmtId="0" fontId="14" fillId="0" borderId="2" xfId="0" applyNumberFormat="1" applyFont="1" applyFill="1" applyBorder="1" applyAlignment="1">
      <x:alignment vertical="center" wrapText="0"/>
    </x:xf>
    <x:xf numFmtId="0" fontId="14" fillId="4" borderId="2" xfId="0" applyNumberFormat="1" applyFont="1" applyFill="1" applyBorder="1" applyAlignment="1">
      <x:alignment vertical="center" wrapText="0"/>
    </x:xf>
    <x:xf numFmtId="165" fontId="14" fillId="4" borderId="2" xfId="0" applyNumberFormat="1" applyFont="1" applyFill="1" applyBorder="1" applyAlignment="1">
      <x:alignment vertical="center" wrapText="0"/>
    </x:xf>
    <x:xf numFmtId="165" fontId="14" fillId="0" borderId="2" xfId="0" applyNumberFormat="1" applyFont="1" applyFill="1" applyBorder="1" applyAlignment="1">
      <x:alignment vertical="center" wrapText="0"/>
    </x:xf>
    <x:xf numFmtId="0" fontId="15" fillId="0" borderId="2" xfId="0" applyNumberFormat="1" applyFont="1" applyFill="1" applyBorder="1" applyAlignment="1">
      <x:alignment vertical="center" wrapText="1"/>
    </x:xf>
    <x:xf numFmtId="0" fontId="13" fillId="5" borderId="2" xfId="0" applyNumberFormat="1" applyFont="1" applyFill="1" applyBorder="1" applyAlignment="1">
      <x:alignment vertical="center" wrapText="0"/>
    </x:xf>
    <x:xf numFmtId="0" fontId="14" fillId="5" borderId="2" xfId="0" applyNumberFormat="1" applyFont="1" applyFill="1" applyBorder="1" applyAlignment="1">
      <x:alignment vertical="center" wrapText="0"/>
    </x:xf>
    <x:xf numFmtId="165" fontId="13" fillId="5" borderId="2" xfId="0" applyNumberFormat="1" applyFont="1" applyFill="1" applyBorder="1" applyAlignment="1">
      <x:alignment vertical="center" wrapText="0"/>
    </x:xf>
    <x:xf numFmtId="166" fontId="13" fillId="5" borderId="2" xfId="0" applyNumberFormat="1" applyFont="1" applyFill="1" applyBorder="1" applyAlignment="1">
      <x:alignment vertical="center" wrapText="0"/>
    </x:xf>
    <x:xf numFmtId="0" fontId="14" fillId="0" borderId="0" xfId="0" applyNumberFormat="1" applyFont="1" applyFill="1" applyBorder="1" applyAlignment="1">
      <x:alignment vertical="center"/>
    </x:xf>
    <x:xf numFmtId="0" fontId="13" fillId="0" borderId="2" xfId="0" applyNumberFormat="1" applyFont="1" applyFill="1" applyBorder="1" applyAlignment="1">
      <x:alignment vertical="center" wrapText="0"/>
    </x:xf>
    <x:xf numFmtId="0" fontId="15" fillId="0" borderId="0" xfId="0" applyNumberFormat="1" applyFont="1" applyFill="1" applyBorder="1" applyAlignment="1">
      <x:alignment vertical="center" wrapText="1"/>
    </x:xf>
    <x:xf numFmtId="168" fontId="14" fillId="0" borderId="2" xfId="0" applyNumberFormat="1" applyFont="1" applyFill="1" applyBorder="1" applyAlignment="1">
      <x:alignment vertical="center" wrapText="0"/>
    </x:xf>
    <x:xf numFmtId="165" fontId="13" fillId="6" borderId="3" xfId="0" applyNumberFormat="1" applyFont="1" applyFill="1" applyBorder="1" applyAlignment="1">
      <x:alignment vertical="center" wrapText="0"/>
    </x:xf>
    <x:xf numFmtId="0" fontId="14" fillId="0" borderId="4" xfId="0" applyNumberFormat="1" applyFont="1" applyFill="1" applyBorder="1" applyAlignment="1">
      <x:alignment vertical="center"/>
    </x:xf>
    <x:xf numFmtId="0" fontId="13" fillId="6" borderId="3" xfId="0" applyNumberFormat="1" applyFont="1" applyFill="1" applyBorder="1" applyAlignment="1">
      <x:alignment vertical="center" wrapText="0"/>
    </x:xf>
    <x:xf numFmtId="164" fontId="13" fillId="6" borderId="3" xfId="0" applyNumberFormat="1" applyFont="1" applyFill="1" applyBorder="1" applyAlignment="1">
      <x:alignment vertical="center" wrapText="0"/>
    </x:xf>
    <x:xf numFmtId="10" fontId="13" fillId="6" borderId="3" xfId="0" applyNumberFormat="1" applyFont="1" applyFill="1" applyBorder="1" applyAlignment="1">
      <x:alignment vertical="center" wrapText="0"/>
    </x:xf>
    <x:xf numFmtId="166" fontId="13" fillId="6" borderId="3" xfId="0" applyNumberFormat="1" applyFont="1" applyFill="1" applyBorder="1" applyAlignment="1">
      <x:alignment vertical="center" wrapText="0"/>
    </x:xf>
    <x:xf numFmtId="0" fontId="14" fillId="4" borderId="5" xfId="0" applyNumberFormat="1" applyFont="1" applyFill="1" applyBorder="1" applyAlignment="1">
      <x:alignment vertical="center" wrapText="1"/>
    </x:xf>
    <x:xf numFmtId="0" fontId="14" fillId="0" borderId="6" xfId="0" applyNumberFormat="1" applyFont="1" applyFill="1" applyBorder="1" applyAlignment="1">
      <x:alignment vertical="center"/>
    </x:xf>
    <x:xf numFmtId="0" fontId="14" fillId="0" borderId="7" xfId="0" applyNumberFormat="1" applyFont="1" applyFill="1" applyBorder="1" applyAlignment="1">
      <x:alignment vertical="center"/>
    </x:xf>
    <x:xf numFmtId="0" fontId="14" fillId="0" borderId="8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 applyAlignment="1">
      <x:alignment vertical="center" wrapText="1"/>
    </x:xf>
    <x:xf numFmtId="0" fontId="14" fillId="0" borderId="9" xfId="0" applyNumberFormat="1" applyFont="1" applyFill="1" applyBorder="1" applyAlignment="1">
      <x:alignment vertical="center" wrapText="1"/>
    </x:xf>
    <x:xf numFmtId="0" fontId="14" fillId="0" borderId="10" xfId="0" applyNumberFormat="1" applyFont="1" applyFill="1" applyBorder="1" applyAlignment="1">
      <x:alignment vertical="center" wrapText="1"/>
    </x:xf>
    <x:xf numFmtId="0" fontId="14" fillId="0" borderId="11" xfId="0" applyNumberFormat="1" applyFont="1" applyFill="1" applyBorder="1" applyAlignment="1">
      <x:alignment vertical="center" wrapText="1"/>
    </x:xf>
    <x:xf numFmtId="0" fontId="14" fillId="0" borderId="12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 applyAlignment="1">
      <x:alignment vertical="center" wrapText="0"/>
    </x:xf>
    <x:xf numFmtId="0" fontId="17" fillId="0" borderId="0" xfId="0" applyNumberFormat="1" applyFont="1" applyFill="1" applyBorder="1" applyAlignment="1">
      <x:alignment vertical="center" wrapText="0"/>
    </x:xf>
    <x:xf numFmtId="0" fontId="13" fillId="7" borderId="2" xfId="0" applyNumberFormat="1" applyFont="1" applyFill="1" applyBorder="1" applyAlignment="1">
      <x:alignment horizontal="center" vertical="center" wrapText="1"/>
    </x:xf>
    <x:xf numFmtId="0" fontId="18" fillId="7" borderId="2" xfId="0" applyNumberFormat="1" applyFont="1" applyFill="1" applyBorder="1" applyAlignment="1">
      <x:alignment horizontal="center" vertical="center" wrapText="1"/>
    </x:xf>
    <x:xf numFmtId="0" fontId="13" fillId="8" borderId="2" xfId="0" applyNumberFormat="1" applyFont="1" applyFill="1" applyBorder="1" applyAlignment="1">
      <x:alignment vertical="center" wrapText="0"/>
    </x:xf>
    <x:xf numFmtId="0" fontId="14" fillId="8" borderId="2" xfId="0" applyNumberFormat="1" applyFont="1" applyFill="1" applyBorder="1" applyAlignment="1">
      <x:alignment vertical="center" wrapText="0"/>
    </x:xf>
    <x:xf numFmtId="0" fontId="19" fillId="8" borderId="2" xfId="0" applyNumberFormat="1" applyFont="1" applyFill="1" applyBorder="1" applyAlignment="1">
      <x:alignment vertical="center" wrapText="0"/>
    </x:xf>
    <x:xf numFmtId="0" fontId="13" fillId="8" borderId="0" xfId="0" applyNumberFormat="1" applyFont="1" applyFill="1" applyBorder="1" applyAlignment="1">
      <x:alignment vertical="center" wrapText="0"/>
    </x:xf>
    <x:xf numFmtId="0" fontId="14" fillId="8" borderId="0" xfId="0" applyNumberFormat="1" applyFont="1" applyFill="1" applyBorder="1" applyAlignment="1">
      <x:alignment vertical="center" wrapText="0"/>
    </x:xf>
    <x:xf numFmtId="0" fontId="19" fillId="8" borderId="0" xfId="0" applyNumberFormat="1" applyFont="1" applyFill="1" applyBorder="1" applyAlignment="1">
      <x:alignment vertical="center" wrapText="0"/>
    </x:xf>
    <x:xf numFmtId="0" fontId="13" fillId="9" borderId="2" xfId="0" applyNumberFormat="1" applyFont="1" applyFill="1" applyBorder="1" applyAlignment="1">
      <x:alignment vertical="center" wrapText="0"/>
    </x:xf>
    <x:xf numFmtId="0" fontId="14" fillId="9" borderId="2" xfId="0" applyNumberFormat="1" applyFont="1" applyFill="1" applyBorder="1" applyAlignment="1">
      <x:alignment vertical="center" wrapText="0"/>
    </x:xf>
    <x:xf numFmtId="165" fontId="13" fillId="9" borderId="2" xfId="0" applyNumberFormat="1" applyFont="1" applyFill="1" applyBorder="1" applyAlignment="1">
      <x:alignment vertical="center" wrapText="0"/>
    </x:xf>
    <x:xf numFmtId="166" fontId="13" fillId="9" borderId="2" xfId="0" applyNumberFormat="1" applyFont="1" applyFill="1" applyBorder="1" applyAlignment="1">
      <x:alignment vertical="center" wrapText="0"/>
    </x:xf>
    <x:xf numFmtId="0" fontId="19" fillId="9" borderId="2" xfId="0" applyNumberFormat="1" applyFont="1" applyFill="1" applyBorder="1" applyAlignment="1">
      <x:alignment vertical="center" wrapText="0"/>
    </x:xf>
    <x:xf numFmtId="165" fontId="19" fillId="9" borderId="2" xfId="0" applyNumberFormat="1" applyFont="1" applyFill="1" applyBorder="1" applyAlignment="1">
      <x:alignment vertical="center" wrapText="0"/>
    </x:xf>
    <x:xf numFmtId="166" fontId="19" fillId="9" borderId="2" xfId="0" applyNumberFormat="1" applyFont="1" applyFill="1" applyBorder="1" applyAlignment="1">
      <x:alignment vertical="center" wrapText="0"/>
    </x:xf>
    <x:xf numFmtId="0" fontId="14" fillId="9" borderId="0" xfId="0" applyNumberFormat="1" applyFont="1" applyFill="1" applyBorder="1" applyAlignment="1">
      <x:alignment vertical="center"/>
    </x:xf>
    <x:xf numFmtId="0" fontId="14" fillId="9" borderId="0" xfId="0" applyNumberFormat="1" applyFont="1" applyFill="1" applyBorder="1" applyAlignment="1">
      <x:alignment vertical="center" wrapText="0"/>
    </x:xf>
    <x:xf numFmtId="0" fontId="19" fillId="9" borderId="0" xfId="0" applyNumberFormat="1" applyFont="1" applyFill="1" applyBorder="1" applyAlignment="1">
      <x:alignment vertical="center"/>
    </x:xf>
    <x:xf numFmtId="0" fontId="19" fillId="9" borderId="0" xfId="0" applyNumberFormat="1" applyFont="1" applyFill="1" applyBorder="1" applyAlignment="1">
      <x:alignment vertical="center" wrapText="0"/>
    </x:xf>
    <x:xf numFmtId="0" fontId="14" fillId="10" borderId="2" xfId="0" applyNumberFormat="1" applyFont="1" applyFill="1" applyBorder="1" applyAlignment="1">
      <x:alignment vertical="center" wrapText="0"/>
    </x:xf>
    <x:xf numFmtId="165" fontId="14" fillId="10" borderId="2" xfId="0" applyNumberFormat="1" applyFont="1" applyFill="1" applyBorder="1" applyAlignment="1">
      <x:alignment vertical="center" wrapText="0"/>
    </x:xf>
    <x:xf numFmtId="0" fontId="19" fillId="10" borderId="2" xfId="0" applyNumberFormat="1" applyFont="1" applyFill="1" applyBorder="1" applyAlignment="1">
      <x:alignment vertical="center" wrapText="0"/>
    </x:xf>
    <x:xf numFmtId="0" fontId="14" fillId="10" borderId="0" xfId="0" applyNumberFormat="1" applyFont="1" applyFill="1" applyBorder="1" applyAlignment="1">
      <x:alignment vertical="center"/>
    </x:xf>
    <x:xf numFmtId="0" fontId="14" fillId="10" borderId="0" xfId="0" applyNumberFormat="1" applyFont="1" applyFill="1" applyBorder="1" applyAlignment="1">
      <x:alignment vertical="center" wrapText="0"/>
    </x:xf>
    <x:xf numFmtId="0" fontId="13" fillId="11" borderId="2" xfId="0" applyNumberFormat="1" applyFont="1" applyFill="1" applyBorder="1" applyAlignment="1">
      <x:alignment vertical="center" wrapText="0"/>
    </x:xf>
    <x:xf numFmtId="0" fontId="14" fillId="11" borderId="0" xfId="0" applyNumberFormat="1" applyFont="1" applyFill="1" applyBorder="1" applyAlignment="1">
      <x:alignment vertical="center" wrapText="0"/>
    </x:xf>
    <x:xf numFmtId="165" fontId="13" fillId="11" borderId="3" xfId="0" applyNumberFormat="1" applyFont="1" applyFill="1" applyBorder="1" applyAlignment="1">
      <x:alignment vertical="center" wrapText="0"/>
    </x:xf>
    <x:xf numFmtId="0" fontId="13" fillId="11" borderId="3" xfId="0" applyNumberFormat="1" applyFont="1" applyFill="1" applyBorder="1" applyAlignment="1">
      <x:alignment vertical="center" wrapText="0"/>
    </x:xf>
    <x:xf numFmtId="164" fontId="13" fillId="11" borderId="3" xfId="0" applyNumberFormat="1" applyFont="1" applyFill="1" applyBorder="1" applyAlignment="1">
      <x:alignment vertical="center" wrapText="0"/>
    </x:xf>
    <x:xf numFmtId="10" fontId="13" fillId="11" borderId="3" xfId="0" applyNumberFormat="1" applyFont="1" applyFill="1" applyBorder="1" applyAlignment="1">
      <x:alignment vertical="center" wrapText="0"/>
    </x:xf>
    <x:xf numFmtId="166" fontId="13" fillId="11" borderId="3" xfId="0" applyNumberFormat="1" applyFont="1" applyFill="1" applyBorder="1" applyAlignment="1">
      <x:alignment vertical="center" wrapText="0"/>
    </x:xf>
    <x:xf numFmtId="0" fontId="19" fillId="11" borderId="2" xfId="0" applyNumberFormat="1" applyFont="1" applyFill="1" applyBorder="1" applyAlignment="1">
      <x:alignment vertical="center" wrapText="0"/>
    </x:xf>
    <x:xf numFmtId="0" fontId="14" fillId="10" borderId="5" xfId="0" applyNumberFormat="1" applyFont="1" applyFill="1" applyBorder="1" applyAlignment="1">
      <x:alignment vertical="center" wrapText="1"/>
    </x:xf>
    <x:xf numFmtId="0" fontId="14" fillId="10" borderId="6" xfId="0" applyNumberFormat="1" applyFont="1" applyFill="1" applyBorder="1" applyAlignment="1">
      <x:alignment vertical="center"/>
    </x:xf>
    <x:xf numFmtId="0" fontId="14" fillId="10" borderId="7" xfId="0" applyNumberFormat="1" applyFont="1" applyFill="1" applyBorder="1" applyAlignment="1">
      <x:alignment vertical="center"/>
    </x:xf>
    <x:xf numFmtId="0" fontId="14" fillId="10" borderId="8" xfId="0" applyNumberFormat="1" applyFont="1" applyFill="1" applyBorder="1" applyAlignment="1">
      <x:alignment vertical="center" wrapText="1"/>
    </x:xf>
    <x:xf numFmtId="0" fontId="14" fillId="10" borderId="0" xfId="0" applyNumberFormat="1" applyFont="1" applyFill="1" applyBorder="1" applyAlignment="1">
      <x:alignment vertical="center" wrapText="1"/>
    </x:xf>
    <x:xf numFmtId="0" fontId="14" fillId="10" borderId="9" xfId="0" applyNumberFormat="1" applyFont="1" applyFill="1" applyBorder="1" applyAlignment="1">
      <x:alignment vertical="center" wrapText="1"/>
    </x:xf>
    <x:xf numFmtId="0" fontId="14" fillId="10" borderId="10" xfId="0" applyNumberFormat="1" applyFont="1" applyFill="1" applyBorder="1" applyAlignment="1">
      <x:alignment vertical="center" wrapText="1"/>
    </x:xf>
    <x:xf numFmtId="0" fontId="14" fillId="10" borderId="11" xfId="0" applyNumberFormat="1" applyFont="1" applyFill="1" applyBorder="1" applyAlignment="1">
      <x:alignment vertical="center" wrapText="1"/>
    </x:xf>
    <x:xf numFmtId="0" fontId="14" fillId="10" borderId="12" xfId="0" applyNumberFormat="1" applyFont="1" applyFill="1" applyBorder="1" applyAlignment="1">
      <x:alignment vertical="center" wrapText="1"/>
    </x:xf>
    <x:xf numFmtId="0" fontId="20" fillId="10" borderId="5" xfId="0" applyNumberFormat="1" applyFont="1" applyFill="1" applyBorder="1" applyAlignment="1">
      <x:alignment vertical="center" wrapText="1"/>
    </x:xf>
    <x:xf numFmtId="0" fontId="21" fillId="10" borderId="8" xfId="0" applyNumberFormat="1" applyFont="1" applyFill="1" applyBorder="1" applyAlignment="1">
      <x:alignment vertical="center" wrapText="1"/>
    </x:xf>
    <x:xf numFmtId="0" fontId="21" fillId="10" borderId="0" xfId="0" applyNumberFormat="1" applyFont="1" applyFill="1" applyBorder="1" applyAlignment="1">
      <x:alignment vertical="center" wrapText="1"/>
    </x:xf>
    <x:xf numFmtId="0" fontId="21" fillId="10" borderId="9" xfId="0" applyNumberFormat="1" applyFont="1" applyFill="1" applyBorder="1" applyAlignment="1">
      <x:alignment vertical="center" wrapText="1"/>
    </x:xf>
    <x:xf numFmtId="0" fontId="21" fillId="10" borderId="10" xfId="0" applyNumberFormat="1" applyFont="1" applyFill="1" applyBorder="1" applyAlignment="1">
      <x:alignment vertical="center" wrapText="1"/>
    </x:xf>
    <x:xf numFmtId="0" fontId="21" fillId="10" borderId="11" xfId="0" applyNumberFormat="1" applyFont="1" applyFill="1" applyBorder="1" applyAlignment="1">
      <x:alignment vertical="center" wrapText="1"/>
    </x:xf>
    <x:xf numFmtId="0" fontId="21" fillId="10" borderId="12" xfId="0" applyNumberFormat="1" applyFont="1" applyFill="1" applyBorder="1" applyAlignment="1">
      <x:alignment vertical="center" wrapText="1"/>
    </x:xf>
    <x:xf numFmtId="200" fontId="14" fillId="10" borderId="2" xfId="0" applyNumberFormat="1" applyFont="1" applyFill="1" applyBorder="1" applyAlignment="1">
      <x:alignment vertical="center" wrapText="0"/>
    </x:xf>
    <x:xf numFmtId="200" fontId="14" fillId="0" borderId="2" xfId="0" applyNumberFormat="1" applyFont="1" applyFill="1" applyBorder="1" applyAlignment="1">
      <x:alignment vertical="center" wrapText="0"/>
    </x:xf>
    <x:xf numFmtId="200" fontId="19" fillId="10" borderId="2" xfId="0" applyNumberFormat="1" applyFont="1" applyFill="1" applyBorder="1" applyAlignment="1">
      <x:alignment vertical="center" wrapText="0"/>
    </x:xf>
    <x:xf numFmtId="200" fontId="19" fillId="9" borderId="2" xfId="0" applyNumberFormat="1" applyFont="1" applyFill="1" applyBorder="1" applyAlignment="1">
      <x:alignment vertical="center" wrapText="0"/>
    </x:xf>
    <x:xf numFmtId="200" fontId="14" fillId="10" borderId="0" xfId="0" applyNumberFormat="1" applyFont="1" applyFill="1" applyBorder="1" applyAlignment="1">
      <x:alignment vertical="center" wrapText="0"/>
    </x:xf>
    <x:xf numFmtId="200" fontId="14" fillId="0" borderId="0" xfId="0" applyNumberFormat="1" applyFont="1" applyFill="1" applyBorder="1" applyAlignment="1">
      <x:alignment vertical="center" wrapText="0"/>
    </x:xf>
    <x:xf numFmtId="200" fontId="19" fillId="8" borderId="2" xfId="0" applyNumberFormat="1" applyFont="1" applyFill="1" applyBorder="1" applyAlignment="1">
      <x:alignment vertical="center" wrapText="0"/>
    </x:xf>
    <x:xf numFmtId="200" fontId="19" fillId="9" borderId="0" xfId="0" applyNumberFormat="1" applyFont="1" applyFill="1" applyBorder="1" applyAlignment="1">
      <x:alignment vertical="center" wrapText="0"/>
    </x:xf>
    <x:xf numFmtId="166" fontId="14" fillId="0" borderId="2" xfId="0" applyNumberFormat="1" applyFont="1" applyFill="1" applyBorder="1" applyAlignment="1">
      <x:alignment vertical="center" wrapText="0"/>
    </x:xf>
    <x:xf numFmtId="166" fontId="14" fillId="0" borderId="0" xfId="0" applyNumberFormat="1" applyFont="1" applyFill="1" applyBorder="1" applyAlignment="1">
      <x:alignment vertical="center" wrapText="0"/>
    </x:xf>
    <x:xf numFmtId="166" fontId="19" fillId="8" borderId="2" xfId="0" applyNumberFormat="1" applyFont="1" applyFill="1" applyBorder="1" applyAlignment="1">
      <x:alignment vertical="center" wrapText="0"/>
    </x:xf>
    <x:xf numFmtId="166" fontId="19" fillId="9" borderId="0" xfId="0" applyNumberFormat="1" applyFont="1" applyFill="1" applyBorder="1" applyAlignment="1">
      <x:alignment vertical="center" wrapText="0"/>
    </x:xf>
    <x:xf numFmtId="201" fontId="13" fillId="11" borderId="3" xfId="0" applyNumberFormat="1" applyFont="1" applyFill="1" applyBorder="1" applyAlignment="1">
      <x:alignment vertical="center" wrapText="0"/>
    </x:xf>
    <x:xf numFmtId="202" fontId="13" fillId="11" borderId="3" xfId="0" applyNumberFormat="1" applyFont="1" applyFill="1" applyBorder="1" applyAlignment="1">
      <x:alignment vertical="center" wrapText="0"/>
    </x:xf>
    <x:xf numFmtId="0" fontId="22" fillId="8" borderId="2" xfId="0" applyNumberFormat="1" applyFont="1" applyFill="1" applyBorder="1" applyAlignment="1">
      <x:alignment vertical="center" wrapText="0"/>
    </x:xf>
    <x:xf numFmtId="0" fontId="23" fillId="0" borderId="2" xfId="0" applyNumberFormat="1" applyFont="1" applyFill="1" applyBorder="1" applyAlignment="1">
      <x:alignment vertical="center" wrapText="1"/>
    </x:xf>
    <x:xf numFmtId="0" fontId="22" fillId="9" borderId="2" xfId="0" applyNumberFormat="1" applyFont="1" applyFill="1" applyBorder="1" applyAlignment="1">
      <x:alignment vertical="center" wrapText="0"/>
    </x:xf>
    <x:xf numFmtId="0" fontId="23" fillId="0" borderId="0" xfId="0" applyNumberFormat="1" applyFont="1" applyFill="1" applyBorder="1" applyAlignment="1">
      <x:alignment vertical="center" wrapText="0"/>
    </x:xf>
    <x:xf numFmtId="0" fontId="22" fillId="9" borderId="0" xfId="0" applyNumberFormat="1" applyFont="1" applyFill="1" applyBorder="1" applyAlignment="1">
      <x:alignment vertical="center" wrapText="0"/>
    </x:xf>
    <x:xf numFmtId="0" fontId="23" fillId="0" borderId="0" xfId="0" applyNumberFormat="1" applyFont="1" applyFill="1" applyBorder="1" applyAlignment="1">
      <x:alignment vertical="center" wrapText="1"/>
    </x:xf>
    <x:xf numFmtId="0" fontId="22" fillId="8" borderId="0" xfId="0" applyNumberFormat="1" applyFont="1" applyFill="1" applyBorder="1" applyAlignment="1">
      <x:alignment vertical="center" wrapText="0"/>
    </x:xf>
    <x:xf numFmtId="0" fontId="23" fillId="10" borderId="7" xfId="0" applyNumberFormat="1" applyFont="1" applyFill="1" applyBorder="1" applyAlignment="1">
      <x:alignment vertical="center"/>
    </x:xf>
    <x:xf numFmtId="0" fontId="23" fillId="10" borderId="9" xfId="0" applyNumberFormat="1" applyFont="1" applyFill="1" applyBorder="1" applyAlignment="1">
      <x:alignment vertical="center" wrapText="1"/>
    </x:xf>
    <x:xf numFmtId="0" fontId="23" fillId="10" borderId="12" xfId="0" applyNumberFormat="1" applyFont="1" applyFill="1" applyBorder="1" applyAlignment="1">
      <x:alignment vertical="center" wrapText="1"/>
    </x:xf>
    <x:xf numFmtId="0" fontId="18" fillId="7" borderId="2" xfId="0" applyNumberFormat="1" applyFont="1" applyFill="1" applyBorder="1" applyAlignment="1">
      <x:alignment horizontal="center" vertical="center" wrapText="0"/>
    </x:xf>
    <x:xf numFmtId="0" fontId="23" fillId="0" borderId="2" xfId="0" applyNumberFormat="1" applyFont="1" applyFill="1" applyBorder="1" applyAlignment="1">
      <x:alignment vertical="center" wrapText="0"/>
    </x:xf>
    <x:xf numFmtId="0" fontId="14" fillId="0" borderId="4" xfId="0" applyNumberFormat="1" applyFont="1" applyFill="1" applyBorder="1" applyAlignment="1">
      <x:alignment vertical="center" wrapText="0"/>
    </x:xf>
    <x:xf numFmtId="0" fontId="20" fillId="10" borderId="5" xfId="0" applyNumberFormat="1" applyFont="1" applyFill="1" applyBorder="1" applyAlignment="1">
      <x:alignment vertical="center" wrapText="0"/>
    </x:xf>
    <x:xf numFmtId="0" fontId="14" fillId="10" borderId="6" xfId="0" applyNumberFormat="1" applyFont="1" applyFill="1" applyBorder="1" applyAlignment="1">
      <x:alignment vertical="center" wrapText="0"/>
    </x:xf>
    <x:xf numFmtId="0" fontId="23" fillId="10" borderId="7" xfId="0" applyNumberFormat="1" applyFont="1" applyFill="1" applyBorder="1" applyAlignment="1">
      <x:alignment vertical="center" wrapText="0"/>
    </x:xf>
    <x:xf numFmtId="0" fontId="21" fillId="10" borderId="8" xfId="0" applyNumberFormat="1" applyFont="1" applyFill="1" applyBorder="1" applyAlignment="1">
      <x:alignment vertical="center" wrapText="0"/>
    </x:xf>
    <x:xf numFmtId="0" fontId="21" fillId="10" borderId="0" xfId="0" applyNumberFormat="1" applyFont="1" applyFill="1" applyBorder="1" applyAlignment="1">
      <x:alignment vertical="center" wrapText="0"/>
    </x:xf>
    <x:xf numFmtId="0" fontId="23" fillId="10" borderId="9" xfId="0" applyNumberFormat="1" applyFont="1" applyFill="1" applyBorder="1" applyAlignment="1">
      <x:alignment vertical="center" wrapText="0"/>
    </x:xf>
    <x:xf numFmtId="0" fontId="21" fillId="10" borderId="10" xfId="0" applyNumberFormat="1" applyFont="1" applyFill="1" applyBorder="1" applyAlignment="1">
      <x:alignment vertical="center" wrapText="0"/>
    </x:xf>
    <x:xf numFmtId="0" fontId="21" fillId="10" borderId="11" xfId="0" applyNumberFormat="1" applyFont="1" applyFill="1" applyBorder="1" applyAlignment="1">
      <x:alignment vertical="center" wrapText="0"/>
    </x:xf>
    <x:xf numFmtId="0" fontId="23" fillId="10" borderId="12" xfId="0" applyNumberFormat="1" applyFont="1" applyFill="1" applyBorder="1" applyAlignment="1">
      <x:alignment vertical="center" wrapText="0"/>
    </x:xf>
    <x:xf numFmtId="0" fontId="14" fillId="7" borderId="0" xfId="0" applyNumberFormat="1" applyFont="1" applyFill="1" applyBorder="1" applyAlignment="1">
      <x:alignment vertical="center" wrapText="0"/>
    </x:xf>
    <x:xf numFmtId="0" fontId="18" fillId="7" borderId="0" xfId="0" applyNumberFormat="1" applyFont="1" applyFill="1" applyBorder="1" applyAlignment="1">
      <x:alignment vertical="center" wrapText="0"/>
    </x:xf>
    <x:xf numFmtId="0" fontId="18" fillId="7" borderId="0" xfId="0" applyNumberFormat="1" applyFont="1" applyFill="1" applyBorder="1" applyAlignment="1">
      <x:alignment horizontal="center" vertical="center" wrapText="0"/>
    </x:xf>
    <x:xf numFmtId="0" fontId="19" fillId="10" borderId="0" xfId="0" applyNumberFormat="1" applyFont="1" applyFill="1" applyBorder="1" applyAlignment="1">
      <x:alignment vertical="center" wrapText="0"/>
    </x:xf>
    <x:xf numFmtId="0" fontId="19" fillId="11" borderId="0" xfId="0" applyNumberFormat="1" applyFont="1" applyFill="1" applyBorder="1" applyAlignment="1">
      <x:alignment vertical="center" wrapText="0"/>
    </x:xf>
    <x:xf numFmtId="0" fontId="20" fillId="10" borderId="0" xfId="0" applyNumberFormat="1" applyFont="1" applyFill="1" applyBorder="1" applyAlignment="1">
      <x:alignment vertical="center" wrapText="0"/>
    </x:xf>
    <x:xf numFmtId="200" fontId="19" fillId="10" borderId="0" xfId="0" applyNumberFormat="1" applyFont="1" applyFill="1" applyBorder="1" applyAlignment="1">
      <x:alignment vertical="center" wrapText="0"/>
    </x:xf>
    <x:xf numFmtId="200" fontId="19" fillId="8" borderId="0" xfId="0" applyNumberFormat="1" applyFont="1" applyFill="1" applyBorder="1" applyAlignment="1">
      <x:alignment vertical="center" wrapText="0"/>
    </x:xf>
    <x:xf numFmtId="166" fontId="19" fillId="8" borderId="0" xfId="0" applyNumberFormat="1" applyFont="1" applyFill="1" applyBorder="1" applyAlignment="1">
      <x:alignment vertical="center" wrapText="0"/>
    </x:xf>
    <x:xf numFmtId="168" fontId="14" fillId="0" borderId="0" xfId="0" applyNumberFormat="1" applyFont="1" applyFill="1" applyBorder="1" applyAlignment="1">
      <x:alignment vertical="center" wrapText="0"/>
    </x:xf>
    <x:xf numFmtId="201" fontId="14" fillId="11" borderId="0" xfId="0" applyNumberFormat="1" applyFont="1" applyFill="1" applyBorder="1" applyAlignment="1">
      <x:alignment vertical="center" wrapText="0"/>
    </x:xf>
    <x:xf numFmtId="202" fontId="14" fillId="11" borderId="0" xfId="0" applyNumberFormat="1" applyFont="1" applyFill="1" applyBorder="1" applyAlignment="1">
      <x:alignment vertical="center" wrapText="0"/>
    </x:xf>
    <x:xf numFmtId="166" fontId="14" fillId="11" borderId="0" xfId="0" applyNumberFormat="1" applyFont="1" applyFill="1" applyBorder="1" applyAlignment="1">
      <x:alignment vertical="center" wrapText="0"/>
    </x:xf>
    <x:xf numFmtId="0" fontId="23" fillId="10" borderId="0" xfId="0" applyNumberFormat="1" applyFont="1" applyFill="1" applyBorder="1" applyAlignment="1">
      <x:alignment vertical="center" wrapText="0"/>
    </x:xf>
    <x:xf numFmtId="0" fontId="23" fillId="1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bottom" wrapText="0"/>
    </x:xf>
    <x:xf numFmtId="0" fontId="24" fillId="0" borderId="0" xfId="0" applyNumberFormat="1" applyFont="1" applyFill="1" applyBorder="1" applyAlignment="1">
      <x:alignment vertical="bottom" wrapText="0"/>
    </x:xf>
    <x:xf numFmtId="0" fontId="6" fillId="0" borderId="0" xfId="0" applyNumberFormat="1" applyFont="1" applyFill="1" applyBorder="1" applyAlignment="1">
      <x:alignment vertical="bottom" wrapText="0"/>
    </x:xf>
    <x:xf numFmtId="0" fontId="4" fillId="2" borderId="2" xfId="0" applyNumberFormat="1" applyFont="1" applyFill="1" applyBorder="1" applyAlignment="1">
      <x:alignment vertical="bottom" wrapText="0"/>
    </x:xf>
    <x:xf numFmtId="0" fontId="24" fillId="2" borderId="2" xfId="0" applyNumberFormat="1" applyFont="1" applyFill="1" applyBorder="1" applyAlignment="1">
      <x:alignment vertical="bottom" wrapText="0"/>
    </x:xf>
    <x:xf numFmtId="0" fontId="7" fillId="3" borderId="2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vertical="bottom" wrapText="0"/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bottom" wrapText="0"/>
    </x:xf>
    <x:xf numFmtId="165" fontId="2" fillId="0" borderId="2" xfId="0" applyNumberFormat="1" applyFont="1" applyFill="1" applyBorder="1" applyAlignment="1">
      <x:alignment vertical="bottom" wrapText="0"/>
    </x:xf>
    <x:xf numFmtId="2" fontId="3" fillId="0" borderId="2" xfId="0" applyNumberFormat="1" applyFont="1" applyFill="1" applyBorder="1" applyAlignment="1">
      <x:alignment vertical="bottom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e3643fd2824f00" /><Relationship Type="http://schemas.openxmlformats.org/officeDocument/2006/relationships/theme" Target="/xl/theme/theme1.xml" Id="R09e11ddba5744e01" /><Relationship Type="http://schemas.openxmlformats.org/officeDocument/2006/relationships/sharedStrings" Target="/xl/sharedStrings.xml" Id="Rff3d69e3e5334f0e" /><Relationship Type="http://schemas.openxmlformats.org/officeDocument/2006/relationships/worksheet" Target="/xl/worksheets/sheet1.xml" Id="Rf2a7e42229e24f80" /><Relationship Type="http://schemas.openxmlformats.org/officeDocument/2006/relationships/worksheet" Target="/xl/worksheets/sheet2.xml" Id="R0459ee5eef454e80" /><Relationship Type="http://schemas.openxmlformats.org/officeDocument/2006/relationships/worksheet" Target="/xl/worksheets/sheet3.xml" Id="R7a9524b539f446b2" /><Relationship Type="http://schemas.openxmlformats.org/officeDocument/2006/relationships/worksheet" Target="/xl/worksheets/sheet4.xml" Id="Rbb9a4ac3bad54540" /><Relationship Type="http://schemas.openxmlformats.org/officeDocument/2006/relationships/worksheet" Target="/xl/worksheets/sheet5.xml" Id="R3f28cf184365421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4.430000305175781" defaultRowHeight="15"/>
  <x:cols>
    <x:col min="1" max="1" width="3" customWidth="1"/>
    <x:col min="2" max="2" width="46" customWidth="1"/>
    <x:col min="3" max="3" width="78" customWidth="1"/>
    <x:col min="4" max="26" width="8.710000038146973" customWidth="1"/>
  </x:cols>
  <x:sheetData>
    <x:row r="2">
      <x:c r="B2" s="1" t="s">
        <x:v>0</x:v>
      </x:c>
    </x:row>
    <x:row r="3">
      <x:c r="B3" s="2"/>
      <x:c r="C3" s="3"/>
    </x:row>
    <x:row r="4">
      <x:c r="B4" s="4" t="s">
        <x:v>1</x:v>
      </x:c>
      <x:c r="C4" s="5"/>
    </x:row>
    <x:row r="5" ht="30" customHeight="1">
      <x:c r="B5" s="2" t="str">
        <x:v>Цель</x:v>
      </x:c>
      <x:c r="C5" s="3" t="s">
        <x:v>2</x:v>
      </x:c>
    </x:row>
    <x:row r="6" ht="30" customHeight="1">
      <x:c r="B6" s="2" t="s">
        <x:v>3</x:v>
      </x:c>
      <x:c r="C6" s="3" t="s">
        <x:v>4</x:v>
      </x:c>
    </x:row>
    <x:row r="7">
      <x:c r="B7" s="2"/>
      <x:c r="C7" s="3"/>
    </x:row>
    <x:row r="8">
      <x:c r="B8" s="4" t="s">
        <x:v>5</x:v>
      </x:c>
      <x:c r="C8" s="5"/>
    </x:row>
    <x:row r="9">
      <x:c r="B9" s="2" t="s">
        <x:v>6</x:v>
      </x:c>
      <x:c r="C9" s="3" t="s">
        <x:v>7</x:v>
      </x:c>
    </x:row>
    <x:row r="10">
      <x:c r="B10" s="2" t="s">
        <x:v>8</x:v>
      </x:c>
      <x:c r="C10" s="3" t="s">
        <x:v>9</x:v>
      </x:c>
    </x:row>
    <x:row r="11">
      <x:c r="B11" s="2" t="s">
        <x:v>10</x:v>
      </x:c>
      <x:c r="C11" s="3" t="s">
        <x:v>11</x:v>
      </x:c>
    </x:row>
    <x:row r="12">
      <x:c r="B12" s="2"/>
      <x:c r="C12" s="3"/>
    </x:row>
    <x:row r="13">
      <x:c r="B13" s="4" t="s">
        <x:v>12</x:v>
      </x:c>
      <x:c r="C13" s="5"/>
    </x:row>
    <x:row r="14" ht="30" customHeight="1">
      <x:c r="B14" s="2" t="s">
        <x:v>13</x:v>
      </x:c>
      <x:c r="C14" s="3" t="s">
        <x:v>14</x:v>
      </x:c>
    </x:row>
    <x:row r="15" ht="30" customHeight="1">
      <x:c r="B15" s="2" t="s">
        <x:v>15</x:v>
      </x:c>
      <x:c r="C15" s="3" t="s">
        <x:v>16</x:v>
      </x:c>
    </x:row>
    <x:row r="16" ht="30" customHeight="1">
      <x:c r="B16" s="2" t="s">
        <x:v>17</x:v>
      </x:c>
      <x:c r="C16" s="3" t="s">
        <x:v>18</x:v>
      </x:c>
    </x:row>
    <x:row r="17" ht="30" customHeight="1">
      <x:c r="B17" s="2" t="s">
        <x:v>19</x:v>
      </x:c>
      <x:c r="C17" s="3" t="s">
        <x:v>20</x:v>
      </x:c>
    </x:row>
    <x:row r="18" ht="30" customHeight="1">
      <x:c r="B18" s="2" t="s">
        <x:v>21</x:v>
      </x:c>
      <x:c r="C18" s="3" t="s">
        <x:v>22</x:v>
      </x:c>
    </x:row>
    <x:row r="19">
      <x:c r="B19" s="2"/>
      <x:c r="C19" s="3"/>
    </x:row>
    <x:row r="20">
      <x:c r="B20" s="4" t="s">
        <x:v>23</x:v>
      </x:c>
      <x:c r="C20" s="5"/>
    </x:row>
    <x:row r="21" ht="30" customHeight="1">
      <x:c r="B21" s="2" t="s">
        <x:v>24</x:v>
      </x:c>
      <x:c r="C21" s="3" t="n">
        <x:v>5000</x:v>
      </x:c>
    </x:row>
    <x:row r="22" ht="30" customHeight="1">
      <x:c r="B22" s="2" t="s">
        <x:v>25</x:v>
      </x:c>
      <x:c r="C22" s="3" t="s">
        <x:v>26</x:v>
      </x:c>
    </x:row>
    <x:row r="23" ht="30" customHeight="1">
      <x:c r="B23" s="2" t="s">
        <x:v>27</x:v>
      </x:c>
      <x:c r="C23" s="3" t="s">
        <x:v>28</x:v>
      </x:c>
    </x:row>
    <x:row r="24" ht="30" customHeight="1">
      <x:c r="B24" s="2" t="s">
        <x:v>29</x:v>
      </x:c>
      <x:c r="C24" s="3" t="s">
        <x:v>30</x:v>
      </x:c>
    </x:row>
    <x:row r="25" ht="30" customHeight="1">
      <x:c r="B25" s="2" t="s">
        <x:v>31</x:v>
      </x:c>
      <x:c r="C25" s="3" t="s">
        <x:v>32</x:v>
      </x:c>
    </x:row>
    <x:row r="26" ht="30" customHeight="1">
      <x:c r="B26" s="2" t="s">
        <x:v>33</x:v>
      </x:c>
      <x:c r="C26" s="3" t="s">
        <x:v>34</x:v>
      </x:c>
    </x:row>
    <x:row r="27" ht="15.75" customHeight="1">
      <x:c r="B27" s="2"/>
      <x:c r="C27" s="3"/>
    </x:row>
    <x:row r="28" ht="30" customHeight="1">
      <x:c r="B28" s="10" t="s">
        <x:v>35</x:v>
      </x:c>
    </x:row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28:C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ColWidth="14.430000305175781" defaultRowHeight="15"/>
  <x:cols>
    <x:col min="1" max="1" width="3" customWidth="1"/>
    <x:col min="2" max="2" width="42" customWidth="1"/>
    <x:col min="3" max="7" width="15" customWidth="1"/>
    <x:col min="8" max="8" width="52" customWidth="1"/>
    <x:col min="9" max="26" width="8.710000038146973" customWidth="1"/>
  </x:cols>
  <x:sheetData>
    <x:row r="2">
      <x:c r="B2" s="222" t="s">
        <x:v>36</x:v>
      </x:c>
      <x:c r="C2" s="223"/>
      <x:c r="D2" s="223"/>
      <x:c r="E2" s="223"/>
      <x:c r="F2" s="223"/>
      <x:c r="G2" s="223"/>
      <x:c r="H2" s="223"/>
    </x:row>
    <x:row r="3">
      <x:c r="B3" s="224" t="s">
        <x:v>37</x:v>
      </x:c>
      <x:c r="C3" s="223"/>
      <x:c r="D3" s="223"/>
      <x:c r="E3" s="223"/>
      <x:c r="F3" s="223"/>
      <x:c r="G3" s="223"/>
      <x:c r="H3" s="223"/>
    </x:row>
    <x:row r="4">
      <x:c r="B4" s="223"/>
      <x:c r="C4" s="223"/>
      <x:c r="D4" s="223"/>
      <x:c r="E4" s="223"/>
      <x:c r="F4" s="223"/>
      <x:c r="G4" s="223"/>
      <x:c r="H4" s="223"/>
    </x:row>
    <x:row r="5">
      <x:c r="B5" s="225" t="s">
        <x:v>38</x:v>
      </x:c>
      <x:c r="C5" s="226"/>
      <x:c r="D5" s="226"/>
      <x:c r="E5" s="226"/>
      <x:c r="F5" s="226"/>
      <x:c r="G5" s="226"/>
      <x:c r="H5" s="226"/>
    </x:row>
    <x:row r="6">
      <x:c r="B6" s="227" t="s">
        <x:v>39</x:v>
      </x:c>
      <x:c r="C6" s="227" t="s">
        <x:v>40</x:v>
      </x:c>
      <x:c r="D6" s="227" t="s">
        <x:v>41</x:v>
      </x:c>
      <x:c r="E6" s="227" t="s">
        <x:v>42</x:v>
      </x:c>
      <x:c r="F6" s="227" t="s">
        <x:v>43</x:v>
      </x:c>
      <x:c r="G6" s="227" t="s">
        <x:v>44</x:v>
      </x:c>
      <x:c r="H6" s="227" t="s">
        <x:v>45</x:v>
      </x:c>
    </x:row>
    <x:row r="7">
      <x:c r="B7" s="228" t="s">
        <x:v>46</x:v>
      </x:c>
      <x:c r="C7" s="12" t="n">
        <x:v>1000000</x:v>
      </x:c>
      <x:c r="D7" s="12" t="n">
        <x:v>2500000</x:v>
      </x:c>
      <x:c r="E7" s="12" t="n">
        <x:v>5000000</x:v>
      </x:c>
      <x:c r="F7" s="12" t="n">
        <x:v>8000000</x:v>
      </x:c>
      <x:c r="G7" s="12" t="n">
        <x:v>10000000</x:v>
      </x:c>
      <x:c r="H7" s="229" t="str">
        <x:v>Цель кейса: более 1 млн пользователей к 12 месяцам, затем рост до 10 млн</x:v>
      </x:c>
    </x:row>
    <x:row r="8">
      <x:c r="B8" s="228" t="s">
        <x:v>47</x:v>
      </x:c>
      <x:c r="C8" s="12" t="n">
        <x:v>1200000</x:v>
      </x:c>
      <x:c r="D8" s="12" t="n">
        <x:v>5000000</x:v>
      </x:c>
      <x:c r="E8" s="12" t="n">
        <x:v>12000000</x:v>
      </x:c>
      <x:c r="F8" s="12" t="n">
        <x:v>24000000</x:v>
      </x:c>
      <x:c r="G8" s="12" t="n">
        <x:v>40000000</x:v>
      </x:c>
      <x:c r="H8" s="229" t="str">
        <x:v>Допущение: 1,2 заказа на активного пользователя в Год 1</x:v>
      </x:c>
    </x:row>
    <x:row r="9">
      <x:c r="B9" s="228" t="s">
        <x:v>48</x:v>
      </x:c>
      <x:c r="C9" s="14" t="n">
        <x:v>22</x:v>
      </x:c>
      <x:c r="D9" s="14" t="n">
        <x:v>23</x:v>
      </x:c>
      <x:c r="E9" s="14" t="n">
        <x:v>24</x:v>
      </x:c>
      <x:c r="F9" s="14" t="n">
        <x:v>25</x:v>
      </x:c>
      <x:c r="G9" s="14" t="n">
        <x:v>26</x:v>
      </x:c>
      <x:c r="H9" s="229" t="str">
        <x:v>Допущение для массового маркетплейса с низкой ценой</x:v>
      </x:c>
    </x:row>
    <x:row r="10">
      <x:c r="B10" s="230" t="s">
        <x:v>49</x:v>
      </x:c>
      <x:c r="C10" s="231" t="n">
        <x:f t="shared" ref="C10:G10" si="1">C8*C9</x:f>
        <x:v>26400000</x:v>
      </x:c>
      <x:c r="D10" s="231" t="n">
        <x:f t="shared" si="1">D8*D9</x:f>
        <x:v>115000000</x:v>
      </x:c>
      <x:c r="E10" s="231" t="n">
        <x:f t="shared" si="1">E8*E9</x:f>
        <x:v>288000000</x:v>
      </x:c>
      <x:c r="F10" s="231" t="n">
        <x:f t="shared" si="1">F8*F9</x:f>
        <x:v>600000000</x:v>
      </x:c>
      <x:c r="G10" s="231" t="n">
        <x:f t="shared" si="1">G8*G9</x:f>
        <x:v>1040000000</x:v>
      </x:c>
      <x:c r="H10" s="229" t="str">
        <x:v>Расчёт: заказы x средний чек</x:v>
      </x:c>
    </x:row>
    <x:row r="11">
      <x:c r="B11" s="223"/>
      <x:c r="C11" s="223"/>
      <x:c r="D11" s="223"/>
      <x:c r="E11" s="223"/>
      <x:c r="F11" s="223"/>
      <x:c r="G11" s="223"/>
      <x:c r="H11" s="223"/>
    </x:row>
    <x:row r="12">
      <x:c r="B12" s="225" t="s">
        <x:v>50</x:v>
      </x:c>
      <x:c r="C12" s="226"/>
      <x:c r="D12" s="226"/>
      <x:c r="E12" s="226"/>
      <x:c r="F12" s="226"/>
      <x:c r="G12" s="226"/>
      <x:c r="H12" s="226"/>
    </x:row>
    <x:row r="13">
      <x:c r="B13" s="227" t="s">
        <x:v>51</x:v>
      </x:c>
      <x:c r="C13" s="227" t="s">
        <x:v>52</x:v>
      </x:c>
      <x:c r="D13" s="227"/>
      <x:c r="E13" s="227"/>
      <x:c r="F13" s="227"/>
      <x:c r="G13" s="227"/>
      <x:c r="H13" s="227" t="s">
        <x:v>45</x:v>
      </x:c>
    </x:row>
    <x:row r="14">
      <x:c r="B14" s="228" t="s">
        <x:v>53</x:v>
      </x:c>
      <x:c r="C14" s="19" t="n">
        <x:v>0.07</x:v>
      </x:c>
      <x:c r="D14" s="223"/>
      <x:c r="E14" s="223"/>
      <x:c r="F14" s="223"/>
      <x:c r="G14" s="223"/>
      <x:c r="H14" s="229" t="str">
        <x:v>Допущение модели. Применяется к затратам с драйвером инфляция</x:v>
      </x:c>
    </x:row>
    <x:row r="15">
      <x:c r="B15" s="228" t="s">
        <x:v>54</x:v>
      </x:c>
      <x:c r="C15" s="19" t="n">
        <x:v>0.08</x:v>
      </x:c>
      <x:c r="D15" s="223"/>
      <x:c r="E15" s="223"/>
      <x:c r="F15" s="223"/>
      <x:c r="G15" s="223"/>
      <x:c r="H15" s="229" t="str">
        <x:v>Допущение модели для команды и поддержки</x:v>
      </x:c>
    </x:row>
    <x:row r="16">
      <x:c r="B16" s="228" t="s">
        <x:v>55</x:v>
      </x:c>
      <x:c r="C16" s="19" t="n">
        <x:v>0.2</x:v>
      </x:c>
      <x:c r="D16" s="223"/>
      <x:c r="E16" s="223"/>
      <x:c r="F16" s="223"/>
      <x:c r="G16" s="223"/>
      <x:c r="H16" s="229" t="str">
        <x:v>Стартап с высоким риском</x:v>
      </x:c>
    </x:row>
    <x:row r="17">
      <x:c r="B17" s="228" t="s">
        <x:v>56</x:v>
      </x:c>
      <x:c r="C17" s="19" t="n">
        <x:v>0.15</x:v>
      </x:c>
      <x:c r="D17" s="223"/>
      <x:c r="E17" s="223"/>
      <x:c r="F17" s="223"/>
      <x:c r="G17" s="223"/>
      <x:c r="H17" s="229" t="str">
        <x:v>Резерв к прямым затратам</x:v>
      </x:c>
    </x:row>
    <x:row r="18">
      <x:c r="B18" s="228" t="s">
        <x:v>57</x:v>
      </x:c>
      <x:c r="C18" s="18" t="n">
        <x:v>5000</x:v>
      </x:c>
      <x:c r="D18" s="223"/>
      <x:c r="E18" s="223"/>
      <x:c r="F18" s="223"/>
      <x:c r="G18" s="223"/>
      <x:c r="H18" s="229" t="str">
        <x:v>Жёсткий предел из письма CFO, артефакт 6</x:v>
      </x:c>
    </x:row>
    <x:row r="19">
      <x:c r="B19" s="228" t="s">
        <x:v>58</x:v>
      </x:c>
      <x:c r="C19" s="18" t="n">
        <x:v>12000</x:v>
      </x:c>
      <x:c r="D19" s="223"/>
      <x:c r="E19" s="223"/>
      <x:c r="F19" s="223"/>
      <x:c r="G19" s="223"/>
      <x:c r="H19" s="229" t="str">
        <x:v>Оценка инвестора, артефакт 7</x:v>
      </x:c>
    </x:row>
    <x:row r="20">
      <x:c r="B20" s="228" t="s">
        <x:v>59</x:v>
      </x:c>
      <x:c r="C20" s="20" t="n">
        <x:v>0.9995</x:v>
      </x:c>
      <x:c r="D20" s="223"/>
      <x:c r="E20" s="223"/>
      <x:c r="F20" s="223"/>
      <x:c r="G20" s="223"/>
      <x:c r="H20" s="229" t="str">
        <x:v>Расчётная цель для критического пути оплаты</x:v>
      </x:c>
    </x:row>
    <x:row r="21" ht="15.75" customHeight="1">
      <x:c r="B21" s="228" t="s">
        <x:v>60</x:v>
      </x:c>
      <x:c r="C21" s="21" t="n">
        <x:v>1</x:v>
      </x:c>
      <x:c r="D21" s="223"/>
      <x:c r="E21" s="223"/>
      <x:c r="F21" s="223"/>
      <x:c r="G21" s="223"/>
      <x:c r="H21" s="229" t="str">
        <x:v>Сценарий учитывает стоимость простоя</x:v>
      </x:c>
    </x:row>
    <x:row r="22" ht="15.75" customHeight="1">
      <x:c r="B22" s="223"/>
      <x:c r="C22" s="223"/>
      <x:c r="D22" s="223"/>
      <x:c r="E22" s="223"/>
      <x:c r="F22" s="223"/>
      <x:c r="G22" s="223"/>
      <x:c r="H22" s="223"/>
    </x:row>
    <x:row r="23" ht="15.75" customHeight="1">
      <x:c r="B23" s="225" t="s">
        <x:v>61</x:v>
      </x:c>
      <x:c r="C23" s="226"/>
      <x:c r="D23" s="226"/>
      <x:c r="E23" s="226"/>
      <x:c r="F23" s="226"/>
      <x:c r="G23" s="226"/>
      <x:c r="H23" s="226"/>
    </x:row>
    <x:row r="24" ht="15.75" customHeight="1">
      <x:c r="B24" s="227" t="s">
        <x:v>62</x:v>
      </x:c>
      <x:c r="C24" s="227" t="s">
        <x:v>40</x:v>
      </x:c>
      <x:c r="D24" s="227" t="s">
        <x:v>41</x:v>
      </x:c>
      <x:c r="E24" s="227" t="s">
        <x:v>42</x:v>
      </x:c>
      <x:c r="F24" s="227" t="s">
        <x:v>43</x:v>
      </x:c>
      <x:c r="G24" s="227" t="s">
        <x:v>44</x:v>
      </x:c>
      <x:c r="H24" s="227" t="s">
        <x:v>63</x:v>
      </x:c>
    </x:row>
    <x:row r="25" ht="15.75" customHeight="1">
      <x:c r="B25" s="228" t="s">
        <x:v>64</x:v>
      </x:c>
      <x:c r="C25" s="232">
        <x:v>1.0</x:v>
      </x:c>
      <x:c r="D25" s="232">
        <x:v>1.0</x:v>
      </x:c>
      <x:c r="E25" s="232">
        <x:v>1.0</x:v>
      </x:c>
      <x:c r="F25" s="232">
        <x:v>1.0</x:v>
      </x:c>
      <x:c r="G25" s="232">
        <x:v>1.0</x:v>
      </x:c>
      <x:c r="H25" s="229" t="s">
        <x:v>65</x:v>
      </x:c>
    </x:row>
    <x:row r="26" ht="15.75" customHeight="1">
      <x:c r="B26" s="228" t="s">
        <x:v>66</x:v>
      </x:c>
      <x:c r="C26" s="232" t="n">
        <x:v>1</x:v>
      </x:c>
      <x:c r="D26" s="232" t="n">
        <x:f t="shared" ref="D26:G26" si="2">C26*(1+$C$14)</x:f>
        <x:v>1.07</x:v>
      </x:c>
      <x:c r="E26" s="232" t="n">
        <x:f t="shared" si="2">D26*(1+$C$14)</x:f>
        <x:v>1.1449</x:v>
      </x:c>
      <x:c r="F26" s="232" t="n">
        <x:f t="shared" si="2">E26*(1+$C$14)</x:f>
        <x:v>1.225043</x:v>
      </x:c>
      <x:c r="G26" s="232" t="n">
        <x:f t="shared" si="2">F26*(1+$C$14)</x:f>
        <x:v>1.3107960100000002</x:v>
      </x:c>
      <x:c r="H26" s="229" t="s">
        <x:v>67</x:v>
      </x:c>
    </x:row>
    <x:row r="27" ht="15.75" customHeight="1">
      <x:c r="B27" s="228" t="s">
        <x:v>68</x:v>
      </x:c>
      <x:c r="C27" s="232" t="n">
        <x:v>1</x:v>
      </x:c>
      <x:c r="D27" s="232" t="n">
        <x:f t="shared" ref="D27:G27" si="3">C27*(1+$C$15)</x:f>
        <x:v>1.08</x:v>
      </x:c>
      <x:c r="E27" s="232" t="n">
        <x:f t="shared" si="3">D27*(1+$C$15)</x:f>
        <x:v>1.1664</x:v>
      </x:c>
      <x:c r="F27" s="232" t="n">
        <x:f t="shared" si="3">E27*(1+$C$15)</x:f>
        <x:v>1.2597120000000002</x:v>
      </x:c>
      <x:c r="G27" s="232" t="n">
        <x:f t="shared" si="3">F27*(1+$C$15)</x:f>
        <x:v>1.3604889600000003</x:v>
      </x:c>
      <x:c r="H27" s="229" t="s">
        <x:v>69</x:v>
      </x:c>
    </x:row>
    <x:row r="28" ht="15.75" customHeight="1">
      <x:c r="B28" s="228" t="s">
        <x:v>70</x:v>
      </x:c>
      <x:c r="C28" s="232" t="n">
        <x:f t="shared" ref="C28:G28" si="4">C7/$C$7</x:f>
        <x:v>1</x:v>
      </x:c>
      <x:c r="D28" s="232" t="n">
        <x:f t="shared" si="4">D7/$C$7</x:f>
        <x:v>2.5</x:v>
      </x:c>
      <x:c r="E28" s="232" t="n">
        <x:f t="shared" si="4">E7/$C$7</x:f>
        <x:v>5</x:v>
      </x:c>
      <x:c r="F28" s="232" t="n">
        <x:f t="shared" si="4">F7/$C$7</x:f>
        <x:v>8</x:v>
      </x:c>
      <x:c r="G28" s="232" t="n">
        <x:f t="shared" si="4">G7/$C$7</x:f>
        <x:v>10</x:v>
      </x:c>
      <x:c r="H28" s="229" t="s">
        <x:v>71</x:v>
      </x:c>
    </x:row>
    <x:row r="29" ht="15.75" customHeight="1">
      <x:c r="B29" s="228" t="s">
        <x:v>72</x:v>
      </x:c>
      <x:c r="C29" s="232" t="n">
        <x:f t="shared" ref="C29:G29" si="5">C8/$C$8</x:f>
        <x:v>1</x:v>
      </x:c>
      <x:c r="D29" s="232" t="n">
        <x:f t="shared" si="5">D8/$C$8</x:f>
        <x:v>4.166666666666667</x:v>
      </x:c>
      <x:c r="E29" s="232" t="n">
        <x:f t="shared" si="5">E8/$C$8</x:f>
        <x:v>10</x:v>
      </x:c>
      <x:c r="F29" s="232" t="n">
        <x:f t="shared" si="5">F8/$C$8</x:f>
        <x:v>20</x:v>
      </x:c>
      <x:c r="G29" s="232" t="n">
        <x:f t="shared" si="5">G8/$C$8</x:f>
        <x:v>33.333333333333336</x:v>
      </x:c>
      <x:c r="H29" s="229" t="s">
        <x:v>73</x:v>
      </x:c>
    </x:row>
    <x:row r="30" ht="15.75" customHeight="1">
      <x:c r="B30" s="228" t="s">
        <x:v>74</x:v>
      </x:c>
      <x:c r="C30" s="232" t="n">
        <x:f t="shared" ref="C30:G30" si="6">C10/$C$10</x:f>
        <x:v>1</x:v>
      </x:c>
      <x:c r="D30" s="232" t="n">
        <x:f t="shared" si="6">D10/$C$10</x:f>
        <x:v>4.356060606060606</x:v>
      </x:c>
      <x:c r="E30" s="232" t="n">
        <x:f t="shared" si="6">E10/$C$10</x:f>
        <x:v>10.909090909090908</x:v>
      </x:c>
      <x:c r="F30" s="232" t="n">
        <x:f t="shared" si="6">F10/$C$10</x:f>
        <x:v>22.727272727272727</x:v>
      </x:c>
      <x:c r="G30" s="232" t="n">
        <x:f t="shared" si="6">G10/$C$10</x:f>
        <x:v>39.39393939393939</x:v>
      </x:c>
      <x:c r="H30" s="229" t="s">
        <x:v>75</x:v>
      </x:c>
    </x:row>
    <x:row r="31" ht="15.75" customHeight="1">
      <x:c r="B31" s="223" t="str">
        <x:v>нагрузка</x:v>
      </x:c>
      <x:c r="C31" s="223" t="n">
        <x:v>1</x:v>
      </x:c>
      <x:c r="D31" s="223" t="n">
        <x:v>1.7</x:v>
      </x:c>
      <x:c r="E31" s="223" t="n">
        <x:v>2.8</x:v>
      </x:c>
      <x:c r="F31" s="223" t="n">
        <x:v>4.5</x:v>
      </x:c>
      <x:c r="G31" s="223" t="n">
        <x:v>6</x:v>
      </x:c>
      <x:c r="H31" s="223" t="str">
        <x:v>Рост инфраструктуры с учётом эффекта масштаба</x:v>
      </x:c>
    </x:row>
    <x:row r="32" ht="15" customHeight="1">
      <x:c r="B32" s="229" t="s">
        <x:v>76</x:v>
      </x:c>
      <x:c r="C32" s="223"/>
      <x:c r="D32" s="223"/>
      <x:c r="E32" s="223"/>
      <x:c r="F32" s="223"/>
      <x:c r="G32" s="223"/>
      <x:c r="H32" s="223"/>
    </x:row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32:H3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ColWidth="14.430000305175781" defaultRowHeight="15"/>
  <x:cols>
    <x:col min="1" max="1" width="3" customWidth="1"/>
    <x:col min="2" max="2" width="42" hidden="0" customWidth="1"/>
    <x:col min="3" max="3" width="18" hidden="0" customWidth="1"/>
    <x:col min="4" max="4" width="16" hidden="0" customWidth="1"/>
    <x:col min="5" max="10" width="14" customWidth="1"/>
    <x:col min="11" max="11" width="16" hidden="0" customWidth="1"/>
    <x:col min="12" max="12" width="46" hidden="0" customWidth="1"/>
    <x:col min="13" max="26" width="8.710000038146973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2">
      <x:c r="B2" s="121" t="str">
        <x:v>TCO на 5 лет - модульный монолит</x:v>
      </x:c>
      <x:c r="C2" s="121"/>
      <x:c r="D2" s="121"/>
      <x:c r="E2" s="121"/>
      <x:c r="F2" s="121"/>
      <x:c r="G2" s="121"/>
      <x:c r="H2" s="121"/>
      <x:c r="I2" s="121"/>
      <x:c r="J2" s="121"/>
      <x:c r="K2" s="121"/>
      <x:c r="L2" s="121"/>
    </x:row>
    <x:row r="3">
      <x:c r="B3" s="122" t="s">
        <x:v>77</x:v>
      </x:c>
      <x:c r="C3" s="122"/>
      <x:c r="D3" s="122"/>
      <x:c r="E3" s="122"/>
      <x:c r="F3" s="122"/>
      <x:c r="G3" s="122"/>
      <x:c r="H3" s="122"/>
      <x:c r="I3" s="122"/>
      <x:c r="J3" s="122"/>
      <x:c r="K3" s="122"/>
      <x:c r="L3" s="122"/>
    </x:row>
    <x:row r="4">
      <x:c r="B4" s="89"/>
      <x:c r="C4" s="89"/>
      <x:c r="D4" s="89"/>
      <x:c r="E4" s="89"/>
      <x:c r="F4" s="89"/>
      <x:c r="G4" s="89"/>
      <x:c r="H4" s="89"/>
      <x:c r="I4" s="89"/>
      <x:c r="J4" s="89"/>
      <x:c r="K4" s="89"/>
      <x:c r="L4" s="89"/>
    </x:row>
    <x:row r="5" ht="22" customHeight="1">
      <x:c r="B5" s="195" t="s">
        <x:v>78</x:v>
      </x:c>
      <x:c r="C5" s="195" t="s">
        <x:v>79</x:v>
      </x:c>
      <x:c r="D5" s="195" t="s">
        <x:v>80</x:v>
      </x:c>
      <x:c r="E5" s="195" t="s">
        <x:v>40</x:v>
      </x:c>
      <x:c r="F5" s="195" t="s">
        <x:v>41</x:v>
      </x:c>
      <x:c r="G5" s="195" t="s">
        <x:v>42</x:v>
      </x:c>
      <x:c r="H5" s="195" t="s">
        <x:v>43</x:v>
      </x:c>
      <x:c r="I5" s="195" t="s">
        <x:v>44</x:v>
      </x:c>
      <x:c r="J5" s="195" t="s">
        <x:v>81</x:v>
      </x:c>
      <x:c r="K5" s="195" t="s">
        <x:v>82</x:v>
      </x:c>
      <x:c r="L5" s="195" t="s">
        <x:v>45</x:v>
      </x:c>
    </x:row>
    <x:row r="6" ht="22" customHeight="1">
      <x:c r="B6" s="127" t="s">
        <x:v>83</x:v>
      </x:c>
      <x:c r="C6" s="127"/>
      <x:c r="D6" s="127"/>
      <x:c r="E6" s="127"/>
      <x:c r="F6" s="127"/>
      <x:c r="G6" s="127"/>
      <x:c r="H6" s="127"/>
      <x:c r="I6" s="127"/>
      <x:c r="J6" s="127"/>
      <x:c r="K6" s="127"/>
      <x:c r="L6" s="185"/>
    </x:row>
    <x:row r="7">
      <x:c r="B7" s="93" t="s">
        <x:v>84</x:v>
      </x:c>
      <x:c r="C7" s="142" t="str">
        <x:v>нагрузка</x:v>
      </x:c>
      <x:c r="D7" s="171" t="n">
        <x:v>9600</x:v>
      </x:c>
      <x:c r="E7" s="172" t="n">
        <x:f t="array" ref="E7">IF($D7="","",$D7*INDEX('Допущения'!$C$25:$G$31,MATCH($C7,'Допущения'!$B$25:$B$31,0),1))</x:f>
        <x:v>9600</x:v>
      </x:c>
      <x:c r="F7" s="172" t="n">
        <x:f t="array" ref="F7">IF($D7="","",$D7*INDEX('Допущения'!$C$25:$G$31,MATCH($C7,'Допущения'!$B$25:$B$31,0),2))</x:f>
        <x:v>16320</x:v>
      </x:c>
      <x:c r="G7" s="172" t="n">
        <x:f t="array" ref="G7">IF($D7="","",$D7*INDEX('Допущения'!$C$25:$G$31,MATCH($C7,'Допущения'!$B$25:$B$31,0),3))</x:f>
        <x:v>26880</x:v>
      </x:c>
      <x:c r="H7" s="172" t="n">
        <x:f t="array" ref="H7">IF($D7="","",$D7*INDEX('Допущения'!$C$25:$G$31,MATCH($C7,'Допущения'!$B$25:$B$31,0),4))</x:f>
        <x:v>43200</x:v>
      </x:c>
      <x:c r="I7" s="172" t="n">
        <x:f t="array" ref="I7">IF($D7="","",$D7*INDEX('Допущения'!$C$25:$G$31,MATCH($C7,'Допущения'!$B$25:$B$31,0),5))</x:f>
        <x:v>57600</x:v>
      </x:c>
      <x:c r="J7" s="172" t="n">
        <x:f t="shared" ref="J7:J14" si="1">SUM(E7:I7)</x:f>
        <x:v>153600</x:v>
      </x:c>
      <x:c r="K7" s="179"/>
      <x:c r="L7" s="196" t="s">
        <x:v>85</x:v>
      </x:c>
    </x:row>
    <x:row r="8">
      <x:c r="B8" s="93" t="s">
        <x:v>86</x:v>
      </x:c>
      <x:c r="C8" s="142" t="str">
        <x:v>нагрузка</x:v>
      </x:c>
      <x:c r="D8" s="171" t="n">
        <x:v>12000</x:v>
      </x:c>
      <x:c r="E8" s="172" t="n">
        <x:f t="array" ref="E8">IF($D8="","",$D8*INDEX('Допущения'!$C$25:$G$31,MATCH($C8,'Допущения'!$B$25:$B$31,0),1))</x:f>
        <x:v>12000</x:v>
      </x:c>
      <x:c r="F8" s="172" t="n">
        <x:f t="array" ref="F8">IF($D8="","",$D8*INDEX('Допущения'!$C$25:$G$31,MATCH($C8,'Допущения'!$B$25:$B$31,0),2))</x:f>
        <x:v>20400</x:v>
      </x:c>
      <x:c r="G8" s="172" t="n">
        <x:f t="array" ref="G8">IF($D8="","",$D8*INDEX('Допущения'!$C$25:$G$31,MATCH($C8,'Допущения'!$B$25:$B$31,0),3))</x:f>
        <x:v>33600</x:v>
      </x:c>
      <x:c r="H8" s="172" t="n">
        <x:f t="array" ref="H8">IF($D8="","",$D8*INDEX('Допущения'!$C$25:$G$31,MATCH($C8,'Допущения'!$B$25:$B$31,0),4))</x:f>
        <x:v>54000</x:v>
      </x:c>
      <x:c r="I8" s="172" t="n">
        <x:f t="array" ref="I8">IF($D8="","",$D8*INDEX('Допущения'!$C$25:$G$31,MATCH($C8,'Допущения'!$B$25:$B$31,0),5))</x:f>
        <x:v>72000</x:v>
      </x:c>
      <x:c r="J8" s="172" t="n">
        <x:f t="shared" si="1">SUM(E8:I8)</x:f>
        <x:v>192000</x:v>
      </x:c>
      <x:c r="K8" s="179"/>
      <x:c r="L8" s="196" t="s">
        <x:v>87</x:v>
      </x:c>
    </x:row>
    <x:row r="9">
      <x:c r="B9" s="93" t="s">
        <x:v>88</x:v>
      </x:c>
      <x:c r="C9" s="142" t="str">
        <x:v>нагрузка</x:v>
      </x:c>
      <x:c r="D9" s="171" t="n">
        <x:v>3600</x:v>
      </x:c>
      <x:c r="E9" s="172" t="n">
        <x:f t="array" ref="E9">IF($D9="","",$D9*INDEX('Допущения'!$C$25:$G$31,MATCH($C9,'Допущения'!$B$25:$B$31,0),1))</x:f>
        <x:v>3600</x:v>
      </x:c>
      <x:c r="F9" s="172" t="n">
        <x:f t="array" ref="F9">IF($D9="","",$D9*INDEX('Допущения'!$C$25:$G$31,MATCH($C9,'Допущения'!$B$25:$B$31,0),2))</x:f>
        <x:v>6120</x:v>
      </x:c>
      <x:c r="G9" s="172" t="n">
        <x:f t="array" ref="G9">IF($D9="","",$D9*INDEX('Допущения'!$C$25:$G$31,MATCH($C9,'Допущения'!$B$25:$B$31,0),3))</x:f>
        <x:v>10080</x:v>
      </x:c>
      <x:c r="H9" s="172" t="n">
        <x:f t="array" ref="H9">IF($D9="","",$D9*INDEX('Допущения'!$C$25:$G$31,MATCH($C9,'Допущения'!$B$25:$B$31,0),4))</x:f>
        <x:v>16200</x:v>
      </x:c>
      <x:c r="I9" s="172" t="n">
        <x:f t="array" ref="I9">IF($D9="","",$D9*INDEX('Допущения'!$C$25:$G$31,MATCH($C9,'Допущения'!$B$25:$B$31,0),5))</x:f>
        <x:v>21600</x:v>
      </x:c>
      <x:c r="J9" s="172" t="n">
        <x:f t="shared" si="1">SUM(E9:I9)</x:f>
        <x:v>57600</x:v>
      </x:c>
      <x:c r="K9" s="179"/>
      <x:c r="L9" s="196" t="s">
        <x:v>89</x:v>
      </x:c>
    </x:row>
    <x:row r="10">
      <x:c r="B10" s="93" t="s">
        <x:v>90</x:v>
      </x:c>
      <x:c r="C10" s="142" t="str">
        <x:v>нагрузка</x:v>
      </x:c>
      <x:c r="D10" s="171" t="n">
        <x:v>6000</x:v>
      </x:c>
      <x:c r="E10" s="172" t="n">
        <x:f t="array" ref="E10">IF($D10="","",$D10*INDEX('Допущения'!$C$25:$G$31,MATCH($C10,'Допущения'!$B$25:$B$31,0),1))</x:f>
        <x:v>6000</x:v>
      </x:c>
      <x:c r="F10" s="172" t="n">
        <x:f t="array" ref="F10">IF($D10="","",$D10*INDEX('Допущения'!$C$25:$G$31,MATCH($C10,'Допущения'!$B$25:$B$31,0),2))</x:f>
        <x:v>10200</x:v>
      </x:c>
      <x:c r="G10" s="172" t="n">
        <x:f t="array" ref="G10">IF($D10="","",$D10*INDEX('Допущения'!$C$25:$G$31,MATCH($C10,'Допущения'!$B$25:$B$31,0),3))</x:f>
        <x:v>16800</x:v>
      </x:c>
      <x:c r="H10" s="172" t="n">
        <x:f t="array" ref="H10">IF($D10="","",$D10*INDEX('Допущения'!$C$25:$G$31,MATCH($C10,'Допущения'!$B$25:$B$31,0),4))</x:f>
        <x:v>27000</x:v>
      </x:c>
      <x:c r="I10" s="172" t="n">
        <x:f t="array" ref="I10">IF($D10="","",$D10*INDEX('Допущения'!$C$25:$G$31,MATCH($C10,'Допущения'!$B$25:$B$31,0),5))</x:f>
        <x:v>36000</x:v>
      </x:c>
      <x:c r="J10" s="172" t="n">
        <x:f t="shared" si="1">SUM(E10:I10)</x:f>
        <x:v>96000</x:v>
      </x:c>
      <x:c r="K10" s="179"/>
      <x:c r="L10" s="196" t="s">
        <x:v>91</x:v>
      </x:c>
    </x:row>
    <x:row r="11">
      <x:c r="B11" s="93" t="s">
        <x:v>92</x:v>
      </x:c>
      <x:c r="C11" s="142" t="str">
        <x:v>нагрузка</x:v>
      </x:c>
      <x:c r="D11" s="171" t="n">
        <x:v>4800</x:v>
      </x:c>
      <x:c r="E11" s="172" t="n">
        <x:f t="array" ref="E11">IF($D11="","",$D11*INDEX('Допущения'!$C$25:$G$31,MATCH($C11,'Допущения'!$B$25:$B$31,0),1))</x:f>
        <x:v>4800</x:v>
      </x:c>
      <x:c r="F11" s="172" t="n">
        <x:f t="array" ref="F11">IF($D11="","",$D11*INDEX('Допущения'!$C$25:$G$31,MATCH($C11,'Допущения'!$B$25:$B$31,0),2))</x:f>
        <x:v>8160</x:v>
      </x:c>
      <x:c r="G11" s="172" t="n">
        <x:f t="array" ref="G11">IF($D11="","",$D11*INDEX('Допущения'!$C$25:$G$31,MATCH($C11,'Допущения'!$B$25:$B$31,0),3))</x:f>
        <x:v>13440</x:v>
      </x:c>
      <x:c r="H11" s="172" t="n">
        <x:f t="array" ref="H11">IF($D11="","",$D11*INDEX('Допущения'!$C$25:$G$31,MATCH($C11,'Допущения'!$B$25:$B$31,0),4))</x:f>
        <x:v>21600</x:v>
      </x:c>
      <x:c r="I11" s="172" t="n">
        <x:f t="array" ref="I11">IF($D11="","",$D11*INDEX('Допущения'!$C$25:$G$31,MATCH($C11,'Допущения'!$B$25:$B$31,0),5))</x:f>
        <x:v>28800</x:v>
      </x:c>
      <x:c r="J11" s="172" t="n">
        <x:f t="shared" si="1">SUM(E11:I11)</x:f>
        <x:v>76800</x:v>
      </x:c>
      <x:c r="K11" s="179"/>
      <x:c r="L11" s="196" t="s">
        <x:v>93</x:v>
      </x:c>
    </x:row>
    <x:row r="12">
      <x:c r="B12" s="93" t="s">
        <x:v>94</x:v>
      </x:c>
      <x:c r="C12" s="142" t="str">
        <x:v>нагрузка</x:v>
      </x:c>
      <x:c r="D12" s="171" t="n">
        <x:v>6000</x:v>
      </x:c>
      <x:c r="E12" s="172" t="n">
        <x:f t="array" ref="E12">IF($D12="","",$D12*INDEX('Допущения'!$C$25:$G$31,MATCH($C12,'Допущения'!$B$25:$B$31,0),1))</x:f>
        <x:v>6000</x:v>
      </x:c>
      <x:c r="F12" s="172" t="n">
        <x:f t="array" ref="F12">IF($D12="","",$D12*INDEX('Допущения'!$C$25:$G$31,MATCH($C12,'Допущения'!$B$25:$B$31,0),2))</x:f>
        <x:v>10200</x:v>
      </x:c>
      <x:c r="G12" s="172" t="n">
        <x:f t="array" ref="G12">IF($D12="","",$D12*INDEX('Допущения'!$C$25:$G$31,MATCH($C12,'Допущения'!$B$25:$B$31,0),3))</x:f>
        <x:v>16800</x:v>
      </x:c>
      <x:c r="H12" s="172" t="n">
        <x:f t="array" ref="H12">IF($D12="","",$D12*INDEX('Допущения'!$C$25:$G$31,MATCH($C12,'Допущения'!$B$25:$B$31,0),4))</x:f>
        <x:v>27000</x:v>
      </x:c>
      <x:c r="I12" s="172" t="n">
        <x:f t="array" ref="I12">IF($D12="","",$D12*INDEX('Допущения'!$C$25:$G$31,MATCH($C12,'Допущения'!$B$25:$B$31,0),5))</x:f>
        <x:v>36000</x:v>
      </x:c>
      <x:c r="J12" s="172" t="n">
        <x:f t="shared" si="1">SUM(E12:I12)</x:f>
        <x:v>96000</x:v>
      </x:c>
      <x:c r="K12" s="179"/>
      <x:c r="L12" s="196" t="s">
        <x:v>95</x:v>
      </x:c>
    </x:row>
    <x:row r="13">
      <x:c r="B13" s="93" t="s">
        <x:v>96</x:v>
      </x:c>
      <x:c r="C13" s="142" t="str">
        <x:v>инфляция</x:v>
      </x:c>
      <x:c r="D13" s="171" t="n">
        <x:v>7200</x:v>
      </x:c>
      <x:c r="E13" s="172" t="n">
        <x:f t="array" ref="E13">IF($D13="","",$D13*INDEX('Допущения'!$C$25:$G$31,MATCH($C13,'Допущения'!$B$25:$B$31,0),1))</x:f>
        <x:v>7200</x:v>
      </x:c>
      <x:c r="F13" s="172" t="n">
        <x:f t="array" ref="F13">IF($D13="","",$D13*INDEX('Допущения'!$C$25:$G$31,MATCH($C13,'Допущения'!$B$25:$B$31,0),2))</x:f>
        <x:v>7704</x:v>
      </x:c>
      <x:c r="G13" s="172" t="n">
        <x:f t="array" ref="G13">IF($D13="","",$D13*INDEX('Допущения'!$C$25:$G$31,MATCH($C13,'Допущения'!$B$25:$B$31,0),3))</x:f>
        <x:v>8243.28</x:v>
      </x:c>
      <x:c r="H13" s="172" t="n">
        <x:f t="array" ref="H13">IF($D13="","",$D13*INDEX('Допущения'!$C$25:$G$31,MATCH($C13,'Допущения'!$B$25:$B$31,0),4))</x:f>
        <x:v>8820.3096</x:v>
      </x:c>
      <x:c r="I13" s="172" t="n">
        <x:f t="array" ref="I13">IF($D13="","",$D13*INDEX('Допущения'!$C$25:$G$31,MATCH($C13,'Допущения'!$B$25:$B$31,0),5))</x:f>
        <x:v>9437.731272</x:v>
      </x:c>
      <x:c r="J13" s="172" t="n">
        <x:f t="shared" si="1">SUM(E13:I13)</x:f>
        <x:v>41405.320872</x:v>
      </x:c>
      <x:c r="K13" s="179"/>
      <x:c r="L13" s="196" t="s">
        <x:v>97</x:v>
      </x:c>
    </x:row>
    <x:row r="14">
      <x:c r="B14" s="93"/>
      <x:c r="C14" s="142" t="str">
        <x:v>фикс</x:v>
      </x:c>
      <x:c r="D14" s="171"/>
      <x:c r="E14" s="172" t="str">
        <x:f t="array" ref="E14">IF($D14="","",$D14*INDEX('Допущения'!$C$25:$G$31,MATCH($C14,'Допущения'!$B$25:$B$31,0),1))</x:f>
      </x:c>
      <x:c r="F14" s="172" t="str">
        <x:f t="array" ref="F14">IF($D14="","",$D14*INDEX('Допущения'!$C$25:$G$31,MATCH($C14,'Допущения'!$B$25:$B$31,0),2))</x:f>
      </x:c>
      <x:c r="G14" s="172" t="str">
        <x:f t="array" ref="G14">IF($D14="","",$D14*INDEX('Допущения'!$C$25:$G$31,MATCH($C14,'Допущения'!$B$25:$B$31,0),3))</x:f>
      </x:c>
      <x:c r="H14" s="172" t="str">
        <x:f t="array" ref="H14">IF($D14="","",$D14*INDEX('Допущения'!$C$25:$G$31,MATCH($C14,'Допущения'!$B$25:$B$31,0),4))</x:f>
      </x:c>
      <x:c r="I14" s="172" t="str">
        <x:f t="array" ref="I14">IF($D14="","",$D14*INDEX('Допущения'!$C$25:$G$31,MATCH($C14,'Допущения'!$B$25:$B$31,0),5))</x:f>
      </x:c>
      <x:c r="J14" s="172" t="n">
        <x:f t="shared" si="1">SUM(E14:I14)</x:f>
        <x:v>0</x:v>
      </x:c>
      <x:c r="K14" s="179"/>
      <x:c r="L14" s="196" t="s">
        <x:v>98</x:v>
      </x:c>
    </x:row>
    <x:row r="15" ht="22" customHeight="1">
      <x:c r="B15" s="135" t="s">
        <x:v>99</x:v>
      </x:c>
      <x:c r="C15" s="144"/>
      <x:c r="D15" s="173"/>
      <x:c r="E15" s="174" t="n">
        <x:f t="shared" ref="E15:J15" si="2">SUM(E7:E14)</x:f>
        <x:v>49200</x:v>
      </x:c>
      <x:c r="F15" s="174" t="n">
        <x:f t="shared" si="2">SUM(F7:F14)</x:f>
        <x:v>79104</x:v>
      </x:c>
      <x:c r="G15" s="174" t="n">
        <x:f t="shared" si="2">SUM(G7:G14)</x:f>
        <x:v>125843.28</x:v>
      </x:c>
      <x:c r="H15" s="174" t="n">
        <x:f t="shared" si="2">SUM(H7:H14)</x:f>
        <x:v>197820.3096</x:v>
      </x:c>
      <x:c r="I15" s="174" t="n">
        <x:f t="shared" si="2">SUM(I7:I14)</x:f>
        <x:v>261437.731272</x:v>
      </x:c>
      <x:c r="J15" s="174" t="n">
        <x:f t="shared" si="2">SUM(E15:I15)</x:f>
        <x:v>713405.320872</x:v>
      </x:c>
      <x:c r="K15" s="137" t="n">
        <x:f>J15/$J$51</x:f>
        <x:v>0.00965146725841522</x:v>
      </x:c>
      <x:c r="L15" s="187"/>
    </x:row>
    <x:row r="16">
      <x:c r="B16" s="89"/>
      <x:c r="C16" s="146"/>
      <x:c r="D16" s="175"/>
      <x:c r="E16" s="176"/>
      <x:c r="F16" s="176"/>
      <x:c r="G16" s="176"/>
      <x:c r="H16" s="176"/>
      <x:c r="I16" s="176"/>
      <x:c r="J16" s="176"/>
      <x:c r="K16" s="180"/>
      <x:c r="L16" s="188"/>
    </x:row>
    <x:row r="17" ht="22" customHeight="1">
      <x:c r="B17" s="127" t="s">
        <x:v>100</x:v>
      </x:c>
      <x:c r="C17" s="144"/>
      <x:c r="D17" s="173"/>
      <x:c r="E17" s="177"/>
      <x:c r="F17" s="177"/>
      <x:c r="G17" s="177"/>
      <x:c r="H17" s="177"/>
      <x:c r="I17" s="177"/>
      <x:c r="J17" s="177"/>
      <x:c r="K17" s="181"/>
      <x:c r="L17" s="185"/>
    </x:row>
    <x:row r="18">
      <x:c r="B18" s="93" t="s">
        <x:v>101</x:v>
      </x:c>
      <x:c r="C18" s="142" t="str">
        <x:v>нагрузка</x:v>
      </x:c>
      <x:c r="D18" s="171" t="n">
        <x:v>3000</x:v>
      </x:c>
      <x:c r="E18" s="172" t="n">
        <x:f t="array" ref="E18">IF($D18="","",$D18*INDEX('Допущения'!$C$25:$G$31,MATCH($C18,'Допущения'!$B$25:$B$31,0),1))</x:f>
        <x:v>3000</x:v>
      </x:c>
      <x:c r="F18" s="172" t="n">
        <x:f t="array" ref="F18">IF($D18="","",$D18*INDEX('Допущения'!$C$25:$G$31,MATCH($C18,'Допущения'!$B$25:$B$31,0),2))</x:f>
        <x:v>5100</x:v>
      </x:c>
      <x:c r="G18" s="172" t="n">
        <x:f t="array" ref="G18">IF($D18="","",$D18*INDEX('Допущения'!$C$25:$G$31,MATCH($C18,'Допущения'!$B$25:$B$31,0),3))</x:f>
        <x:v>8400</x:v>
      </x:c>
      <x:c r="H18" s="172" t="n">
        <x:f t="array" ref="H18">IF($D18="","",$D18*INDEX('Допущения'!$C$25:$G$31,MATCH($C18,'Допущения'!$B$25:$B$31,0),4))</x:f>
        <x:v>13500</x:v>
      </x:c>
      <x:c r="I18" s="172" t="n">
        <x:f t="array" ref="I18">IF($D18="","",$D18*INDEX('Допущения'!$C$25:$G$31,MATCH($C18,'Допущения'!$B$25:$B$31,0),5))</x:f>
        <x:v>18000</x:v>
      </x:c>
      <x:c r="J18" s="172" t="n">
        <x:f t="shared" ref="J18:J23" si="3">SUM(E18:I18)</x:f>
        <x:v>48000</x:v>
      </x:c>
      <x:c r="K18" s="179"/>
      <x:c r="L18" s="196" t="s">
        <x:v>102</x:v>
      </x:c>
    </x:row>
    <x:row r="19">
      <x:c r="B19" s="93" t="s">
        <x:v>103</x:v>
      </x:c>
      <x:c r="C19" s="142" t="str">
        <x:v>инфляция</x:v>
      </x:c>
      <x:c r="D19" s="171" t="n">
        <x:v>2400</x:v>
      </x:c>
      <x:c r="E19" s="172" t="n">
        <x:f t="array" ref="E19">IF($D19="","",$D19*INDEX('Допущения'!$C$25:$G$31,MATCH($C19,'Допущения'!$B$25:$B$31,0),1))</x:f>
        <x:v>2400</x:v>
      </x:c>
      <x:c r="F19" s="172" t="n">
        <x:f t="array" ref="F19">IF($D19="","",$D19*INDEX('Допущения'!$C$25:$G$31,MATCH($C19,'Допущения'!$B$25:$B$31,0),2))</x:f>
        <x:v>2568</x:v>
      </x:c>
      <x:c r="G19" s="172" t="n">
        <x:f t="array" ref="G19">IF($D19="","",$D19*INDEX('Допущения'!$C$25:$G$31,MATCH($C19,'Допущения'!$B$25:$B$31,0),3))</x:f>
        <x:v>2747.76</x:v>
      </x:c>
      <x:c r="H19" s="172" t="n">
        <x:f t="array" ref="H19">IF($D19="","",$D19*INDEX('Допущения'!$C$25:$G$31,MATCH($C19,'Допущения'!$B$25:$B$31,0),4))</x:f>
        <x:v>2940.1032000000005</x:v>
      </x:c>
      <x:c r="I19" s="172" t="n">
        <x:f t="array" ref="I19">IF($D19="","",$D19*INDEX('Допущения'!$C$25:$G$31,MATCH($C19,'Допущения'!$B$25:$B$31,0),5))</x:f>
        <x:v>3145.9104240000006</x:v>
      </x:c>
      <x:c r="J19" s="172" t="n">
        <x:f t="shared" si="3">SUM(E19:I19)</x:f>
        <x:v>13801.773624000001</x:v>
      </x:c>
      <x:c r="K19" s="179"/>
      <x:c r="L19" s="196" t="s">
        <x:v>104</x:v>
      </x:c>
    </x:row>
    <x:row r="20">
      <x:c r="B20" s="93" t="s">
        <x:v>105</x:v>
      </x:c>
      <x:c r="C20" s="142" t="str">
        <x:v>нагрузка</x:v>
      </x:c>
      <x:c r="D20" s="171" t="n">
        <x:v>3600</x:v>
      </x:c>
      <x:c r="E20" s="172" t="n">
        <x:f t="array" ref="E20">IF($D20="","",$D20*INDEX('Допущения'!$C$25:$G$31,MATCH($C20,'Допущения'!$B$25:$B$31,0),1))</x:f>
        <x:v>3600</x:v>
      </x:c>
      <x:c r="F20" s="172" t="n">
        <x:f t="array" ref="F20">IF($D20="","",$D20*INDEX('Допущения'!$C$25:$G$31,MATCH($C20,'Допущения'!$B$25:$B$31,0),2))</x:f>
        <x:v>6120</x:v>
      </x:c>
      <x:c r="G20" s="172" t="n">
        <x:f t="array" ref="G20">IF($D20="","",$D20*INDEX('Допущения'!$C$25:$G$31,MATCH($C20,'Допущения'!$B$25:$B$31,0),3))</x:f>
        <x:v>10080</x:v>
      </x:c>
      <x:c r="H20" s="172" t="n">
        <x:f t="array" ref="H20">IF($D20="","",$D20*INDEX('Допущения'!$C$25:$G$31,MATCH($C20,'Допущения'!$B$25:$B$31,0),4))</x:f>
        <x:v>16200</x:v>
      </x:c>
      <x:c r="I20" s="172" t="n">
        <x:f t="array" ref="I20">IF($D20="","",$D20*INDEX('Допущения'!$C$25:$G$31,MATCH($C20,'Допущения'!$B$25:$B$31,0),5))</x:f>
        <x:v>21600</x:v>
      </x:c>
      <x:c r="J20" s="172" t="n">
        <x:f t="shared" si="3">SUM(E20:I20)</x:f>
        <x:v>57600</x:v>
      </x:c>
      <x:c r="K20" s="179"/>
      <x:c r="L20" s="196" t="s">
        <x:v>106</x:v>
      </x:c>
    </x:row>
    <x:row r="21" ht="15.75" customHeight="1">
      <x:c r="B21" s="93" t="s">
        <x:v>107</x:v>
      </x:c>
      <x:c r="C21" s="142" t="str">
        <x:v>инфляция</x:v>
      </x:c>
      <x:c r="D21" s="171" t="n">
        <x:v>1200</x:v>
      </x:c>
      <x:c r="E21" s="172" t="n">
        <x:f t="array" ref="E21">IF($D21="","",$D21*INDEX('Допущения'!$C$25:$G$31,MATCH($C21,'Допущения'!$B$25:$B$31,0),1))</x:f>
        <x:v>1200</x:v>
      </x:c>
      <x:c r="F21" s="172" t="n">
        <x:f t="array" ref="F21">IF($D21="","",$D21*INDEX('Допущения'!$C$25:$G$31,MATCH($C21,'Допущения'!$B$25:$B$31,0),2))</x:f>
        <x:v>1284</x:v>
      </x:c>
      <x:c r="G21" s="172" t="n">
        <x:f t="array" ref="G21">IF($D21="","",$D21*INDEX('Допущения'!$C$25:$G$31,MATCH($C21,'Допущения'!$B$25:$B$31,0),3))</x:f>
        <x:v>1373.88</x:v>
      </x:c>
      <x:c r="H21" s="172" t="n">
        <x:f t="array" ref="H21">IF($D21="","",$D21*INDEX('Допущения'!$C$25:$G$31,MATCH($C21,'Допущения'!$B$25:$B$31,0),4))</x:f>
        <x:v>1470.0516000000002</x:v>
      </x:c>
      <x:c r="I21" s="172" t="n">
        <x:f t="array" ref="I21">IF($D21="","",$D21*INDEX('Допущения'!$C$25:$G$31,MATCH($C21,'Допущения'!$B$25:$B$31,0),5))</x:f>
        <x:v>1572.9552120000003</x:v>
      </x:c>
      <x:c r="J21" s="172" t="n">
        <x:f t="shared" si="3">SUM(E21:I21)</x:f>
        <x:v>6900.886812000001</x:v>
      </x:c>
      <x:c r="K21" s="179"/>
      <x:c r="L21" s="196" t="s">
        <x:v>108</x:v>
      </x:c>
    </x:row>
    <x:row r="22" ht="15.75" customHeight="1">
      <x:c r="B22" s="93" t="s">
        <x:v>109</x:v>
      </x:c>
      <x:c r="C22" s="142" t="str">
        <x:v>инфляция</x:v>
      </x:c>
      <x:c r="D22" s="171" t="n">
        <x:v>1200</x:v>
      </x:c>
      <x:c r="E22" s="172" t="n">
        <x:f t="array" ref="E22">IF($D22="","",$D22*INDEX('Допущения'!$C$25:$G$31,MATCH($C22,'Допущения'!$B$25:$B$31,0),1))</x:f>
        <x:v>1200</x:v>
      </x:c>
      <x:c r="F22" s="172" t="n">
        <x:f t="array" ref="F22">IF($D22="","",$D22*INDEX('Допущения'!$C$25:$G$31,MATCH($C22,'Допущения'!$B$25:$B$31,0),2))</x:f>
        <x:v>1284</x:v>
      </x:c>
      <x:c r="G22" s="172" t="n">
        <x:f t="array" ref="G22">IF($D22="","",$D22*INDEX('Допущения'!$C$25:$G$31,MATCH($C22,'Допущения'!$B$25:$B$31,0),3))</x:f>
        <x:v>1373.88</x:v>
      </x:c>
      <x:c r="H22" s="172" t="n">
        <x:f t="array" ref="H22">IF($D22="","",$D22*INDEX('Допущения'!$C$25:$G$31,MATCH($C22,'Допущения'!$B$25:$B$31,0),4))</x:f>
        <x:v>1470.0516000000002</x:v>
      </x:c>
      <x:c r="I22" s="172" t="n">
        <x:f t="array" ref="I22">IF($D22="","",$D22*INDEX('Допущения'!$C$25:$G$31,MATCH($C22,'Допущения'!$B$25:$B$31,0),5))</x:f>
        <x:v>1572.9552120000003</x:v>
      </x:c>
      <x:c r="J22" s="172" t="n">
        <x:f t="shared" si="3">SUM(E22:I22)</x:f>
        <x:v>6900.886812000001</x:v>
      </x:c>
      <x:c r="K22" s="179"/>
      <x:c r="L22" s="196" t="str">
        <x:v>Трекер работ, дизайн, аналитика</x:v>
      </x:c>
    </x:row>
    <x:row r="23" ht="15.75" customHeight="1">
      <x:c r="B23" s="93"/>
      <x:c r="C23" s="142" t="str">
        <x:v>фикс</x:v>
      </x:c>
      <x:c r="D23" s="171"/>
      <x:c r="E23" s="172" t="str">
        <x:f t="array" ref="E23">IF($D23="","",$D23*INDEX('Допущения'!$C$25:$G$31,MATCH($C23,'Допущения'!$B$25:$B$31,0),1))</x:f>
      </x:c>
      <x:c r="F23" s="172" t="str">
        <x:f t="array" ref="F23">IF($D23="","",$D23*INDEX('Допущения'!$C$25:$G$31,MATCH($C23,'Допущения'!$B$25:$B$31,0),2))</x:f>
      </x:c>
      <x:c r="G23" s="172" t="str">
        <x:f t="array" ref="G23">IF($D23="","",$D23*INDEX('Допущения'!$C$25:$G$31,MATCH($C23,'Допущения'!$B$25:$B$31,0),3))</x:f>
      </x:c>
      <x:c r="H23" s="172" t="str">
        <x:f t="array" ref="H23">IF($D23="","",$D23*INDEX('Допущения'!$C$25:$G$31,MATCH($C23,'Допущения'!$B$25:$B$31,0),4))</x:f>
      </x:c>
      <x:c r="I23" s="172" t="str">
        <x:f t="array" ref="I23">IF($D23="","",$D23*INDEX('Допущения'!$C$25:$G$31,MATCH($C23,'Допущения'!$B$25:$B$31,0),5))</x:f>
      </x:c>
      <x:c r="J23" s="172" t="n">
        <x:f t="shared" si="3">SUM(E23:I23)</x:f>
        <x:v>0</x:v>
      </x:c>
      <x:c r="K23" s="179"/>
      <x:c r="L23" s="196" t="s">
        <x:v>98</x:v>
      </x:c>
    </x:row>
    <x:row r="24" ht="22" customHeight="1">
      <x:c r="B24" s="135" t="s">
        <x:v>99</x:v>
      </x:c>
      <x:c r="C24" s="144"/>
      <x:c r="D24" s="173"/>
      <x:c r="E24" s="174" t="n">
        <x:f t="shared" ref="E24:J24" si="4">SUM(E18:E23)</x:f>
        <x:v>11400</x:v>
      </x:c>
      <x:c r="F24" s="174" t="n">
        <x:f t="shared" si="4">SUM(F18:F23)</x:f>
        <x:v>16356</x:v>
      </x:c>
      <x:c r="G24" s="174" t="n">
        <x:f t="shared" si="4">SUM(G18:G23)</x:f>
        <x:v>23975.520000000004</x:v>
      </x:c>
      <x:c r="H24" s="174" t="n">
        <x:f t="shared" si="4">SUM(H18:H23)</x:f>
        <x:v>35580.2064</x:v>
      </x:c>
      <x:c r="I24" s="174" t="n">
        <x:f t="shared" si="4">SUM(I18:I23)</x:f>
        <x:v>45891.820848</x:v>
      </x:c>
      <x:c r="J24" s="174" t="n">
        <x:f t="shared" si="4">SUM(E24:I24)</x:f>
        <x:v>133203.54724800002</x:v>
      </x:c>
      <x:c r="K24" s="137" t="n">
        <x:f>J24/$J$51</x:f>
        <x:v>0.0018020746935240514</x:v>
      </x:c>
      <x:c r="L24" s="187"/>
    </x:row>
    <x:row r="25" ht="15.75" customHeight="1">
      <x:c r="B25" s="89"/>
      <x:c r="C25" s="146"/>
      <x:c r="D25" s="175"/>
      <x:c r="E25" s="176"/>
      <x:c r="F25" s="176"/>
      <x:c r="G25" s="176"/>
      <x:c r="H25" s="176"/>
      <x:c r="I25" s="176"/>
      <x:c r="J25" s="176"/>
      <x:c r="K25" s="180"/>
      <x:c r="L25" s="188"/>
    </x:row>
    <x:row r="26" ht="22" customHeight="1">
      <x:c r="B26" s="127" t="s">
        <x:v>110</x:v>
      </x:c>
      <x:c r="C26" s="144"/>
      <x:c r="D26" s="173"/>
      <x:c r="E26" s="177"/>
      <x:c r="F26" s="177"/>
      <x:c r="G26" s="177"/>
      <x:c r="H26" s="177"/>
      <x:c r="I26" s="177"/>
      <x:c r="J26" s="177"/>
      <x:c r="K26" s="181"/>
      <x:c r="L26" s="185"/>
    </x:row>
    <x:row r="27" ht="15.75" customHeight="1">
      <x:c r="B27" s="93" t="s">
        <x:v>111</x:v>
      </x:c>
      <x:c r="C27" s="142" t="str">
        <x:v>GMV</x:v>
      </x:c>
      <x:c r="D27" s="171" t="n">
        <x:v>580800</x:v>
      </x:c>
      <x:c r="E27" s="172" t="n">
        <x:f t="array" ref="E27">IF($D27="","",$D27*INDEX('Допущения'!$C$25:$G$31,MATCH($C27,'Допущения'!$B$25:$B$31,0),1))</x:f>
        <x:v>580800</x:v>
      </x:c>
      <x:c r="F27" s="172" t="n">
        <x:f t="array" ref="F27">IF($D27="","",$D27*INDEX('Допущения'!$C$25:$G$31,MATCH($C27,'Допущения'!$B$25:$B$31,0),2))</x:f>
        <x:v>2530000</x:v>
      </x:c>
      <x:c r="G27" s="172" t="n">
        <x:f t="array" ref="G27">IF($D27="","",$D27*INDEX('Допущения'!$C$25:$G$31,MATCH($C27,'Допущения'!$B$25:$B$31,0),3))</x:f>
        <x:v>6335999.999999999</x:v>
      </x:c>
      <x:c r="H27" s="172" t="n">
        <x:f t="array" ref="H27">IF($D27="","",$D27*INDEX('Допущения'!$C$25:$G$31,MATCH($C27,'Допущения'!$B$25:$B$31,0),4))</x:f>
        <x:v>13200000</x:v>
      </x:c>
      <x:c r="I27" s="172" t="n">
        <x:f t="array" ref="I27">IF($D27="","",$D27*INDEX('Допущения'!$C$25:$G$31,MATCH($C27,'Допущения'!$B$25:$B$31,0),5))</x:f>
        <x:v>22880000</x:v>
      </x:c>
      <x:c r="J27" s="172" t="n">
        <x:f t="shared" ref="J27:J31" si="5">SUM(E27:I27)</x:f>
        <x:v>45526800</x:v>
      </x:c>
      <x:c r="K27" s="179"/>
      <x:c r="L27" s="196" t="str">
        <x:v>≈2,2% от GMV: M-Pesa (Кения), Flutterwave / Paystack (Нигерия)</x:v>
      </x:c>
    </x:row>
    <x:row r="28" ht="15.75" customHeight="1">
      <x:c r="B28" s="93" t="s">
        <x:v>112</x:v>
      </x:c>
      <x:c r="C28" s="142" t="str">
        <x:v>заказы</x:v>
      </x:c>
      <x:c r="D28" s="171" t="n">
        <x:v>30000</x:v>
      </x:c>
      <x:c r="E28" s="172" t="n">
        <x:f t="array" ref="E28">IF($D28="","",$D28*INDEX('Допущения'!$C$25:$G$31,MATCH($C28,'Допущения'!$B$25:$B$31,0),1))</x:f>
        <x:v>30000</x:v>
      </x:c>
      <x:c r="F28" s="172" t="n">
        <x:f t="array" ref="F28">IF($D28="","",$D28*INDEX('Допущения'!$C$25:$G$31,MATCH($C28,'Допущения'!$B$25:$B$31,0),2))</x:f>
        <x:v>125000.00000000001</x:v>
      </x:c>
      <x:c r="G28" s="172" t="n">
        <x:f t="array" ref="G28">IF($D28="","",$D28*INDEX('Допущения'!$C$25:$G$31,MATCH($C28,'Допущения'!$B$25:$B$31,0),3))</x:f>
        <x:v>300000</x:v>
      </x:c>
      <x:c r="H28" s="172" t="n">
        <x:f t="array" ref="H28">IF($D28="","",$D28*INDEX('Допущения'!$C$25:$G$31,MATCH($C28,'Допущения'!$B$25:$B$31,0),4))</x:f>
        <x:v>600000</x:v>
      </x:c>
      <x:c r="I28" s="172" t="n">
        <x:f t="array" ref="I28">IF($D28="","",$D28*INDEX('Допущения'!$C$25:$G$31,MATCH($C28,'Допущения'!$B$25:$B$31,0),5))</x:f>
        <x:v>1000000.0000000001</x:v>
      </x:c>
      <x:c r="J28" s="172" t="n">
        <x:f t="shared" si="5">SUM(E28:I28)</x:f>
        <x:v>2055000</x:v>
      </x:c>
      <x:c r="K28" s="179"/>
      <x:c r="L28" s="196" t="s">
        <x:v>113</x:v>
      </x:c>
    </x:row>
    <x:row r="29" ht="15.75" customHeight="1">
      <x:c r="B29" s="93" t="s">
        <x:v>114</x:v>
      </x:c>
      <x:c r="C29" s="142" t="str">
        <x:v>заказы</x:v>
      </x:c>
      <x:c r="D29" s="171" t="n">
        <x:v>12000</x:v>
      </x:c>
      <x:c r="E29" s="172" t="n">
        <x:f t="array" ref="E29">IF($D29="","",$D29*INDEX('Допущения'!$C$25:$G$31,MATCH($C29,'Допущения'!$B$25:$B$31,0),1))</x:f>
        <x:v>12000</x:v>
      </x:c>
      <x:c r="F29" s="172" t="n">
        <x:f t="array" ref="F29">IF($D29="","",$D29*INDEX('Допущения'!$C$25:$G$31,MATCH($C29,'Допущения'!$B$25:$B$31,0),2))</x:f>
        <x:v>50000</x:v>
      </x:c>
      <x:c r="G29" s="172" t="n">
        <x:f t="array" ref="G29">IF($D29="","",$D29*INDEX('Допущения'!$C$25:$G$31,MATCH($C29,'Допущения'!$B$25:$B$31,0),3))</x:f>
        <x:v>120000</x:v>
      </x:c>
      <x:c r="H29" s="172" t="n">
        <x:f t="array" ref="H29">IF($D29="","",$D29*INDEX('Допущения'!$C$25:$G$31,MATCH($C29,'Допущения'!$B$25:$B$31,0),4))</x:f>
        <x:v>240000</x:v>
      </x:c>
      <x:c r="I29" s="172" t="n">
        <x:f t="array" ref="I29">IF($D29="","",$D29*INDEX('Допущения'!$C$25:$G$31,MATCH($C29,'Допущения'!$B$25:$B$31,0),5))</x:f>
        <x:v>400000</x:v>
      </x:c>
      <x:c r="J29" s="172" t="n">
        <x:f t="shared" si="5">SUM(E29:I29)</x:f>
        <x:v>822000</x:v>
      </x:c>
      <x:c r="K29" s="179"/>
      <x:c r="L29" s="196" t="s">
        <x:v>115</x:v>
      </x:c>
    </x:row>
    <x:row r="30" ht="15.75" customHeight="1">
      <x:c r="B30" s="93" t="s">
        <x:v>116</x:v>
      </x:c>
      <x:c r="C30" s="142" t="str">
        <x:v>заказы</x:v>
      </x:c>
      <x:c r="D30" s="171" t="n">
        <x:v>180000</x:v>
      </x:c>
      <x:c r="E30" s="172" t="n">
        <x:f t="array" ref="E30">IF($D30="","",$D30*INDEX('Допущения'!$C$25:$G$31,MATCH($C30,'Допущения'!$B$25:$B$31,0),1))</x:f>
        <x:v>180000</x:v>
      </x:c>
      <x:c r="F30" s="172" t="n">
        <x:f t="array" ref="F30">IF($D30="","",$D30*INDEX('Допущения'!$C$25:$G$31,MATCH($C30,'Допущения'!$B$25:$B$31,0),2))</x:f>
        <x:v>750000</x:v>
      </x:c>
      <x:c r="G30" s="172" t="n">
        <x:f t="array" ref="G30">IF($D30="","",$D30*INDEX('Допущения'!$C$25:$G$31,MATCH($C30,'Допущения'!$B$25:$B$31,0),3))</x:f>
        <x:v>1800000</x:v>
      </x:c>
      <x:c r="H30" s="172" t="n">
        <x:f t="array" ref="H30">IF($D30="","",$D30*INDEX('Допущения'!$C$25:$G$31,MATCH($C30,'Допущения'!$B$25:$B$31,0),4))</x:f>
        <x:v>3600000</x:v>
      </x:c>
      <x:c r="I30" s="172" t="n">
        <x:f t="array" ref="I30">IF($D30="","",$D30*INDEX('Допущения'!$C$25:$G$31,MATCH($C30,'Допущения'!$B$25:$B$31,0),5))</x:f>
        <x:v>6000000</x:v>
      </x:c>
      <x:c r="J30" s="172" t="n">
        <x:f t="shared" si="5">SUM(E30:I30)</x:f>
        <x:v>12330000</x:v>
      </x:c>
      <x:c r="K30" s="179"/>
      <x:c r="L30" s="196" t="s">
        <x:v>117</x:v>
      </x:c>
    </x:row>
    <x:row r="31" ht="15.75" customHeight="1">
      <x:c r="B31" s="93"/>
      <x:c r="C31" s="142" t="str">
        <x:v>фикс</x:v>
      </x:c>
      <x:c r="D31" s="171"/>
      <x:c r="E31" s="172" t="str">
        <x:f t="array" ref="E31">IF($D31="","",$D31*INDEX('Допущения'!$C$25:$G$31,MATCH($C31,'Допущения'!$B$25:$B$31,0),1))</x:f>
      </x:c>
      <x:c r="F31" s="172" t="str">
        <x:f t="array" ref="F31">IF($D31="","",$D31*INDEX('Допущения'!$C$25:$G$31,MATCH($C31,'Допущения'!$B$25:$B$31,0),2))</x:f>
      </x:c>
      <x:c r="G31" s="172" t="str">
        <x:f t="array" ref="G31">IF($D31="","",$D31*INDEX('Допущения'!$C$25:$G$31,MATCH($C31,'Допущения'!$B$25:$B$31,0),3))</x:f>
      </x:c>
      <x:c r="H31" s="172" t="str">
        <x:f t="array" ref="H31">IF($D31="","",$D31*INDEX('Допущения'!$C$25:$G$31,MATCH($C31,'Допущения'!$B$25:$B$31,0),4))</x:f>
      </x:c>
      <x:c r="I31" s="172" t="str">
        <x:f t="array" ref="I31">IF($D31="","",$D31*INDEX('Допущения'!$C$25:$G$31,MATCH($C31,'Допущения'!$B$25:$B$31,0),5))</x:f>
      </x:c>
      <x:c r="J31" s="172" t="n">
        <x:f t="shared" si="5">SUM(E31:I31)</x:f>
        <x:v>0</x:v>
      </x:c>
      <x:c r="K31" s="179"/>
      <x:c r="L31" s="196" t="s">
        <x:v>98</x:v>
      </x:c>
    </x:row>
    <x:row r="32" ht="22" customHeight="1">
      <x:c r="B32" s="135" t="s">
        <x:v>99</x:v>
      </x:c>
      <x:c r="C32" s="144"/>
      <x:c r="D32" s="173"/>
      <x:c r="E32" s="174" t="n">
        <x:f t="shared" ref="E32:J32" si="6">SUM(E27:E31)</x:f>
        <x:v>802800</x:v>
      </x:c>
      <x:c r="F32" s="174" t="n">
        <x:f t="shared" si="6">SUM(F27:F31)</x:f>
        <x:v>3455000</x:v>
      </x:c>
      <x:c r="G32" s="174" t="n">
        <x:f t="shared" si="6">SUM(G27:G31)</x:f>
        <x:v>8556000</x:v>
      </x:c>
      <x:c r="H32" s="174" t="n">
        <x:f t="shared" si="6">SUM(H27:H31)</x:f>
        <x:v>17640000</x:v>
      </x:c>
      <x:c r="I32" s="174" t="n">
        <x:f t="shared" si="6">SUM(I27:I31)</x:f>
        <x:v>30280000</x:v>
      </x:c>
      <x:c r="J32" s="174" t="n">
        <x:f t="shared" si="6">SUM(E32:I32)</x:f>
        <x:v>60733800</x:v>
      </x:c>
      <x:c r="K32" s="137" t="n">
        <x:f>J32/$J$51</x:f>
        <x:v>0.8216511217811756</x:v>
      </x:c>
      <x:c r="L32" s="187"/>
    </x:row>
    <x:row r="33" ht="15.75" customHeight="1">
      <x:c r="B33" s="89"/>
      <x:c r="C33" s="146"/>
      <x:c r="D33" s="175"/>
      <x:c r="E33" s="176"/>
      <x:c r="F33" s="176"/>
      <x:c r="G33" s="176"/>
      <x:c r="H33" s="176"/>
      <x:c r="I33" s="176"/>
      <x:c r="J33" s="176"/>
      <x:c r="K33" s="180"/>
      <x:c r="L33" s="188"/>
    </x:row>
    <x:row r="34" ht="22" customHeight="1">
      <x:c r="B34" s="127" t="s">
        <x:v>118</x:v>
      </x:c>
      <x:c r="C34" s="144"/>
      <x:c r="D34" s="173"/>
      <x:c r="E34" s="177"/>
      <x:c r="F34" s="177"/>
      <x:c r="G34" s="177"/>
      <x:c r="H34" s="177"/>
      <x:c r="I34" s="177"/>
      <x:c r="J34" s="177"/>
      <x:c r="K34" s="181"/>
      <x:c r="L34" s="185"/>
    </x:row>
    <x:row r="35" ht="15.75" customHeight="1">
      <x:c r="B35" s="93" t="s">
        <x:v>119</x:v>
      </x:c>
      <x:c r="C35" s="142" t="str">
        <x:v>ФОТ</x:v>
      </x:c>
      <x:c r="D35" s="171" t="n">
        <x:v>240000</x:v>
      </x:c>
      <x:c r="E35" s="172" t="n">
        <x:f t="array" ref="E35">IF($D35="","",$D35*INDEX('Допущения'!$C$25:$G$31,MATCH($C35,'Допущения'!$B$25:$B$31,0),1))</x:f>
        <x:v>240000</x:v>
      </x:c>
      <x:c r="F35" s="172" t="n">
        <x:f t="array" ref="F35">IF($D35="","",$D35*INDEX('Допущения'!$C$25:$G$31,MATCH($C35,'Допущения'!$B$25:$B$31,0),2))</x:f>
        <x:v>259200.00000000003</x:v>
      </x:c>
      <x:c r="G35" s="172" t="n">
        <x:f t="array" ref="G35">IF($D35="","",$D35*INDEX('Допущения'!$C$25:$G$31,MATCH($C35,'Допущения'!$B$25:$B$31,0),3))</x:f>
        <x:v>279936</x:v>
      </x:c>
      <x:c r="H35" s="172" t="n">
        <x:f t="array" ref="H35">IF($D35="","",$D35*INDEX('Допущения'!$C$25:$G$31,MATCH($C35,'Допущения'!$B$25:$B$31,0),4))</x:f>
        <x:v>302330.88000000006</x:v>
      </x:c>
      <x:c r="I35" s="172" t="n">
        <x:f t="array" ref="I35">IF($D35="","",$D35*INDEX('Допущения'!$C$25:$G$31,MATCH($C35,'Допущения'!$B$25:$B$31,0),5))</x:f>
        <x:v>326517.35040000005</x:v>
      </x:c>
      <x:c r="J35" s="172" t="n">
        <x:f t="shared" ref="J35:J39" si="7">SUM(E35:I35)</x:f>
        <x:v>1407984.2304000002</x:v>
      </x:c>
      <x:c r="K35" s="179"/>
      <x:c r="L35" s="196" t="s">
        <x:v>120</x:v>
      </x:c>
    </x:row>
    <x:row r="36" ht="15.75" customHeight="1">
      <x:c r="B36" s="93" t="s">
        <x:v>121</x:v>
      </x:c>
      <x:c r="C36" s="142" t="str">
        <x:v>ФОТ</x:v>
      </x:c>
      <x:c r="D36" s="171" t="n">
        <x:v>40000</x:v>
      </x:c>
      <x:c r="E36" s="172" t="n">
        <x:f t="array" ref="E36">IF($D36="","",$D36*INDEX('Допущения'!$C$25:$G$31,MATCH($C36,'Допущения'!$B$25:$B$31,0),1))</x:f>
        <x:v>40000</x:v>
      </x:c>
      <x:c r="F36" s="172" t="n">
        <x:f t="array" ref="F36">IF($D36="","",$D36*INDEX('Допущения'!$C$25:$G$31,MATCH($C36,'Допущения'!$B$25:$B$31,0),2))</x:f>
        <x:v>43200</x:v>
      </x:c>
      <x:c r="G36" s="172" t="n">
        <x:f t="array" ref="G36">IF($D36="","",$D36*INDEX('Допущения'!$C$25:$G$31,MATCH($C36,'Допущения'!$B$25:$B$31,0),3))</x:f>
        <x:v>46656.00000000001</x:v>
      </x:c>
      <x:c r="H36" s="172" t="n">
        <x:f t="array" ref="H36">IF($D36="","",$D36*INDEX('Допущения'!$C$25:$G$31,MATCH($C36,'Допущения'!$B$25:$B$31,0),4))</x:f>
        <x:v>50388.48</x:v>
      </x:c>
      <x:c r="I36" s="172" t="n">
        <x:f t="array" ref="I36">IF($D36="","",$D36*INDEX('Допущения'!$C$25:$G$31,MATCH($C36,'Допущения'!$B$25:$B$31,0),5))</x:f>
        <x:v>54419.55840000001</x:v>
      </x:c>
      <x:c r="J36" s="172" t="n">
        <x:f t="shared" si="7">SUM(E36:I36)</x:f>
        <x:v>234664.03840000002</x:v>
      </x:c>
      <x:c r="K36" s="179"/>
      <x:c r="L36" s="196" t="s">
        <x:v>122</x:v>
      </x:c>
    </x:row>
    <x:row r="37" ht="15.75" customHeight="1">
      <x:c r="B37" s="93" t="s">
        <x:v>123</x:v>
      </x:c>
      <x:c r="C37" s="142" t="str">
        <x:v>ФОТ</x:v>
      </x:c>
      <x:c r="D37" s="171" t="n">
        <x:v>60000</x:v>
      </x:c>
      <x:c r="E37" s="172" t="n">
        <x:f t="array" ref="E37">IF($D37="","",$D37*INDEX('Допущения'!$C$25:$G$31,MATCH($C37,'Допущения'!$B$25:$B$31,0),1))</x:f>
        <x:v>60000</x:v>
      </x:c>
      <x:c r="F37" s="172" t="n">
        <x:f t="array" ref="F37">IF($D37="","",$D37*INDEX('Допущения'!$C$25:$G$31,MATCH($C37,'Допущения'!$B$25:$B$31,0),2))</x:f>
        <x:v>64800.00000000001</x:v>
      </x:c>
      <x:c r="G37" s="172" t="n">
        <x:f t="array" ref="G37">IF($D37="","",$D37*INDEX('Допущения'!$C$25:$G$31,MATCH($C37,'Допущения'!$B$25:$B$31,0),3))</x:f>
        <x:v>69984</x:v>
      </x:c>
      <x:c r="H37" s="172" t="n">
        <x:f t="array" ref="H37">IF($D37="","",$D37*INDEX('Допущения'!$C$25:$G$31,MATCH($C37,'Допущения'!$B$25:$B$31,0),4))</x:f>
        <x:v>75582.72000000002</x:v>
      </x:c>
      <x:c r="I37" s="172" t="n">
        <x:f t="array" ref="I37">IF($D37="","",$D37*INDEX('Допущения'!$C$25:$G$31,MATCH($C37,'Допущения'!$B$25:$B$31,0),5))</x:f>
        <x:v>81629.33760000001</x:v>
      </x:c>
      <x:c r="J37" s="172" t="n">
        <x:f t="shared" si="7">SUM(E37:I37)</x:f>
        <x:v>351996.05760000006</x:v>
      </x:c>
      <x:c r="K37" s="179"/>
      <x:c r="L37" s="196" t="s">
        <x:v>124</x:v>
      </x:c>
    </x:row>
    <x:row r="38" ht="15.75" customHeight="1">
      <x:c r="B38" s="93" t="s">
        <x:v>125</x:v>
      </x:c>
      <x:c r="C38" s="142" t="str">
        <x:v>ФОТ</x:v>
      </x:c>
      <x:c r="D38" s="171" t="n">
        <x:v>90000</x:v>
      </x:c>
      <x:c r="E38" s="172" t="n">
        <x:f t="array" ref="E38">IF($D38="","",$D38*INDEX('Допущения'!$C$25:$G$31,MATCH($C38,'Допущения'!$B$25:$B$31,0),1))</x:f>
        <x:v>90000</x:v>
      </x:c>
      <x:c r="F38" s="172" t="n">
        <x:f t="array" ref="F38">IF($D38="","",$D38*INDEX('Допущения'!$C$25:$G$31,MATCH($C38,'Допущения'!$B$25:$B$31,0),2))</x:f>
        <x:v>97200</x:v>
      </x:c>
      <x:c r="G38" s="172" t="n">
        <x:f t="array" ref="G38">IF($D38="","",$D38*INDEX('Допущения'!$C$25:$G$31,MATCH($C38,'Допущения'!$B$25:$B$31,0),3))</x:f>
        <x:v>104976.00000000001</x:v>
      </x:c>
      <x:c r="H38" s="172" t="n">
        <x:f t="array" ref="H38">IF($D38="","",$D38*INDEX('Допущения'!$C$25:$G$31,MATCH($C38,'Допущения'!$B$25:$B$31,0),4))</x:f>
        <x:v>113374.08000000002</x:v>
      </x:c>
      <x:c r="I38" s="172" t="n">
        <x:f t="array" ref="I38">IF($D38="","",$D38*INDEX('Допущения'!$C$25:$G$31,MATCH($C38,'Допущения'!$B$25:$B$31,0),5))</x:f>
        <x:v>122444.00640000003</x:v>
      </x:c>
      <x:c r="J38" s="172" t="n">
        <x:f t="shared" si="7">SUM(E38:I38)</x:f>
        <x:v>527994.0864</x:v>
      </x:c>
      <x:c r="K38" s="179"/>
      <x:c r="L38" s="196" t="s">
        <x:v>126</x:v>
      </x:c>
    </x:row>
    <x:row r="39" ht="15.75" customHeight="1">
      <x:c r="B39" s="93"/>
      <x:c r="C39" s="142" t="str">
        <x:v>фикс</x:v>
      </x:c>
      <x:c r="D39" s="171"/>
      <x:c r="E39" s="172" t="str">
        <x:f t="array" ref="E39">IF($D39="","",$D39*INDEX('Допущения'!$C$25:$G$31,MATCH($C39,'Допущения'!$B$25:$B$31,0),1))</x:f>
      </x:c>
      <x:c r="F39" s="172" t="str">
        <x:f t="array" ref="F39">IF($D39="","",$D39*INDEX('Допущения'!$C$25:$G$31,MATCH($C39,'Допущения'!$B$25:$B$31,0),2))</x:f>
      </x:c>
      <x:c r="G39" s="172" t="str">
        <x:f t="array" ref="G39">IF($D39="","",$D39*INDEX('Допущения'!$C$25:$G$31,MATCH($C39,'Допущения'!$B$25:$B$31,0),3))</x:f>
      </x:c>
      <x:c r="H39" s="172" t="str">
        <x:f t="array" ref="H39">IF($D39="","",$D39*INDEX('Допущения'!$C$25:$G$31,MATCH($C39,'Допущения'!$B$25:$B$31,0),4))</x:f>
      </x:c>
      <x:c r="I39" s="172" t="str">
        <x:f t="array" ref="I39">IF($D39="","",$D39*INDEX('Допущения'!$C$25:$G$31,MATCH($C39,'Допущения'!$B$25:$B$31,0),5))</x:f>
      </x:c>
      <x:c r="J39" s="172" t="n">
        <x:f t="shared" si="7">SUM(E39:I39)</x:f>
        <x:v>0</x:v>
      </x:c>
      <x:c r="K39" s="179"/>
      <x:c r="L39" s="196" t="s">
        <x:v>98</x:v>
      </x:c>
    </x:row>
    <x:row r="40" ht="22" customHeight="1">
      <x:c r="B40" s="135" t="s">
        <x:v>99</x:v>
      </x:c>
      <x:c r="C40" s="144"/>
      <x:c r="D40" s="173"/>
      <x:c r="E40" s="174" t="n">
        <x:f t="shared" ref="E40:J40" si="8">SUM(E35:E39)</x:f>
        <x:v>430000</x:v>
      </x:c>
      <x:c r="F40" s="174" t="n">
        <x:f t="shared" si="8">SUM(F35:F39)</x:f>
        <x:v>464400</x:v>
      </x:c>
      <x:c r="G40" s="174" t="n">
        <x:f t="shared" si="8">SUM(G35:G39)</x:f>
        <x:v>501552</x:v>
      </x:c>
      <x:c r="H40" s="174" t="n">
        <x:f t="shared" si="8">SUM(H35:H39)</x:f>
        <x:v>541676.1600000001</x:v>
      </x:c>
      <x:c r="I40" s="174" t="n">
        <x:f t="shared" si="8">SUM(I35:I39)</x:f>
        <x:v>585010.2528000001</x:v>
      </x:c>
      <x:c r="J40" s="174" t="n">
        <x:f t="shared" si="8">SUM(E40:I40)</x:f>
        <x:v>2522638.4128</x:v>
      </x:c>
      <x:c r="K40" s="137" t="n">
        <x:f>J40/$J$51</x:f>
        <x:v>0.034128091470077684</x:v>
      </x:c>
      <x:c r="L40" s="187"/>
    </x:row>
    <x:row r="41" ht="15.75" customHeight="1">
      <x:c r="B41" s="89"/>
      <x:c r="C41" s="146"/>
      <x:c r="D41" s="175"/>
      <x:c r="E41" s="176"/>
      <x:c r="F41" s="176"/>
      <x:c r="G41" s="176"/>
      <x:c r="H41" s="176"/>
      <x:c r="I41" s="176"/>
      <x:c r="J41" s="176"/>
      <x:c r="K41" s="180"/>
      <x:c r="L41" s="188"/>
    </x:row>
    <x:row r="42" ht="22" customHeight="1">
      <x:c r="B42" s="127" t="s">
        <x:v>127</x:v>
      </x:c>
      <x:c r="C42" s="144"/>
      <x:c r="D42" s="173"/>
      <x:c r="E42" s="177"/>
      <x:c r="F42" s="177"/>
      <x:c r="G42" s="177"/>
      <x:c r="H42" s="177"/>
      <x:c r="I42" s="177"/>
      <x:c r="J42" s="177"/>
      <x:c r="K42" s="181"/>
      <x:c r="L42" s="185"/>
    </x:row>
    <x:row r="43" ht="15.75" customHeight="1">
      <x:c r="B43" s="93" t="s">
        <x:v>128</x:v>
      </x:c>
      <x:c r="C43" s="142" t="str">
        <x:v>фикс</x:v>
      </x:c>
      <x:c r="D43" s="171" t="n">
        <x:v>18000</x:v>
      </x:c>
      <x:c r="E43" s="172" t="n">
        <x:f t="array" ref="E43"/>
        <x:v>18000</x:v>
      </x:c>
      <x:c r="F43" s="172" t="n">
        <x:f t="array" ref="F43"/>
        <x:v>0</x:v>
      </x:c>
      <x:c r="G43" s="172" t="n">
        <x:f t="array" ref="G43"/>
        <x:v>0</x:v>
      </x:c>
      <x:c r="H43" s="172" t="n">
        <x:f t="array" ref="H43"/>
        <x:v>0</x:v>
      </x:c>
      <x:c r="I43" s="172" t="n">
        <x:f t="array" ref="I43"/>
        <x:v>0</x:v>
      </x:c>
      <x:c r="J43" s="172" t="n">
        <x:f t="shared" ref="J43:J47" si="9">SUM(E43:I43)</x:f>
        <x:v>18000</x:v>
      </x:c>
      <x:c r="K43" s="179"/>
      <x:c r="L43" s="196" t="s">
        <x:v>129</x:v>
      </x:c>
    </x:row>
    <x:row r="44" ht="15.75" customHeight="1">
      <x:c r="B44" s="93" t="s">
        <x:v>130</x:v>
      </x:c>
      <x:c r="C44" s="142" t="str">
        <x:v>инфляция</x:v>
      </x:c>
      <x:c r="D44" s="171" t="n">
        <x:v>12000</x:v>
      </x:c>
      <x:c r="E44" s="172" t="n">
        <x:f t="array" ref="E44">IF($D44="","",$D44*INDEX('Допущения'!$C$25:$G$31,MATCH($C44,'Допущения'!$B$25:$B$31,0),1))</x:f>
        <x:v>12000</x:v>
      </x:c>
      <x:c r="F44" s="172" t="n">
        <x:f t="array" ref="F44">IF($D44="","",$D44*INDEX('Допущения'!$C$25:$G$31,MATCH($C44,'Допущения'!$B$25:$B$31,0),2))</x:f>
        <x:v>12840</x:v>
      </x:c>
      <x:c r="G44" s="172" t="n">
        <x:f t="array" ref="G44">IF($D44="","",$D44*INDEX('Допущения'!$C$25:$G$31,MATCH($C44,'Допущения'!$B$25:$B$31,0),3))</x:f>
        <x:v>13738.800000000001</x:v>
      </x:c>
      <x:c r="H44" s="172" t="n">
        <x:f t="array" ref="H44">IF($D44="","",$D44*INDEX('Допущения'!$C$25:$G$31,MATCH($C44,'Допущения'!$B$25:$B$31,0),4))</x:f>
        <x:v>14700.516000000001</x:v>
      </x:c>
      <x:c r="I44" s="172" t="n">
        <x:f t="array" ref="I44">IF($D44="","",$D44*INDEX('Допущения'!$C$25:$G$31,MATCH($C44,'Допущения'!$B$25:$B$31,0),5))</x:f>
        <x:v>15729.552120000002</x:v>
      </x:c>
      <x:c r="J44" s="172" t="n">
        <x:f t="shared" si="9">SUM(E44:I44)</x:f>
        <x:v>69008.86812000001</x:v>
      </x:c>
      <x:c r="K44" s="179"/>
      <x:c r="L44" s="196" t="s">
        <x:v>131</x:v>
      </x:c>
    </x:row>
    <x:row r="45" ht="15.75" customHeight="1">
      <x:c r="B45" s="93" t="s">
        <x:v>132</x:v>
      </x:c>
      <x:c r="C45" s="142" t="str">
        <x:v>фикс</x:v>
      </x:c>
      <x:c r="D45" s="171" t="n">
        <x:v>15000</x:v>
      </x:c>
      <x:c r="E45" s="172" t="n">
        <x:f t="array" ref="E45"/>
        <x:v>15000</x:v>
      </x:c>
      <x:c r="F45" s="172" t="n">
        <x:f t="array" ref="F45"/>
        <x:v>0</x:v>
      </x:c>
      <x:c r="G45" s="172" t="n">
        <x:f t="array" ref="G45"/>
        <x:v>0</x:v>
      </x:c>
      <x:c r="H45" s="172" t="n">
        <x:f t="array" ref="H45"/>
        <x:v>0</x:v>
      </x:c>
      <x:c r="I45" s="172" t="n">
        <x:f t="array" ref="I45"/>
        <x:v>0</x:v>
      </x:c>
      <x:c r="J45" s="172" t="n">
        <x:f t="shared" si="9">SUM(E45:I45)</x:f>
        <x:v>15000</x:v>
      </x:c>
      <x:c r="K45" s="179"/>
      <x:c r="L45" s="196" t="s">
        <x:v>133</x:v>
      </x:c>
    </x:row>
    <x:row r="46" ht="15.75" customHeight="1">
      <x:c r="B46" s="93" t="s">
        <x:v>134</x:v>
      </x:c>
      <x:c r="C46" s="142" t="str">
        <x:v>ФОТ</x:v>
      </x:c>
      <x:c r="D46" s="171" t="n">
        <x:v>12000</x:v>
      </x:c>
      <x:c r="E46" s="172" t="n">
        <x:f t="array" ref="E46">IF($D46="","",$D46*INDEX('Допущения'!$C$25:$G$31,MATCH($C46,'Допущения'!$B$25:$B$31,0),1))</x:f>
        <x:v>12000</x:v>
      </x:c>
      <x:c r="F46" s="172" t="n">
        <x:f t="array" ref="F46">IF($D46="","",$D46*INDEX('Допущения'!$C$25:$G$31,MATCH($C46,'Допущения'!$B$25:$B$31,0),2))</x:f>
        <x:v>12960</x:v>
      </x:c>
      <x:c r="G46" s="172" t="n">
        <x:f t="array" ref="G46">IF($D46="","",$D46*INDEX('Допущения'!$C$25:$G$31,MATCH($C46,'Допущения'!$B$25:$B$31,0),3))</x:f>
        <x:v>13996.800000000001</x:v>
      </x:c>
      <x:c r="H46" s="172" t="n">
        <x:f t="array" ref="H46">IF($D46="","",$D46*INDEX('Допущения'!$C$25:$G$31,MATCH($C46,'Допущения'!$B$25:$B$31,0),4))</x:f>
        <x:v>15116.544000000002</x:v>
      </x:c>
      <x:c r="I46" s="172" t="n">
        <x:f t="array" ref="I46">IF($D46="","",$D46*INDEX('Допущения'!$C$25:$G$31,MATCH($C46,'Допущения'!$B$25:$B$31,0),5))</x:f>
        <x:v>16325.867520000003</x:v>
      </x:c>
      <x:c r="J46" s="172" t="n">
        <x:f t="shared" si="9">SUM(E46:I46)</x:f>
        <x:v>70399.21152000001</x:v>
      </x:c>
      <x:c r="K46" s="179"/>
      <x:c r="L46" s="196" t="s">
        <x:v>135</x:v>
      </x:c>
    </x:row>
    <x:row r="47" ht="15.75" customHeight="1">
      <x:c r="B47" s="93"/>
      <x:c r="C47" s="142" t="str">
        <x:v>фикс</x:v>
      </x:c>
      <x:c r="D47" s="171"/>
      <x:c r="E47" s="172" t="str">
        <x:f t="array" ref="E47">IF($D47="","",$D47*INDEX('Допущения'!$C$25:$G$31,MATCH($C47,'Допущения'!$B$25:$B$31,0),1))</x:f>
      </x:c>
      <x:c r="F47" s="172" t="str">
        <x:f t="array" ref="F47">IF($D47="","",$D47*INDEX('Допущения'!$C$25:$G$31,MATCH($C47,'Допущения'!$B$25:$B$31,0),2))</x:f>
      </x:c>
      <x:c r="G47" s="172" t="str">
        <x:f t="array" ref="G47">IF($D47="","",$D47*INDEX('Допущения'!$C$25:$G$31,MATCH($C47,'Допущения'!$B$25:$B$31,0),3))</x:f>
      </x:c>
      <x:c r="H47" s="172" t="str">
        <x:f t="array" ref="H47">IF($D47="","",$D47*INDEX('Допущения'!$C$25:$G$31,MATCH($C47,'Допущения'!$B$25:$B$31,0),4))</x:f>
      </x:c>
      <x:c r="I47" s="172" t="str">
        <x:f t="array" ref="I47">IF($D47="","",$D47*INDEX('Допущения'!$C$25:$G$31,MATCH($C47,'Допущения'!$B$25:$B$31,0),5))</x:f>
      </x:c>
      <x:c r="J47" s="172" t="n">
        <x:f t="shared" si="9">SUM(E47:I47)</x:f>
        <x:v>0</x:v>
      </x:c>
      <x:c r="K47" s="179"/>
      <x:c r="L47" s="196" t="s">
        <x:v>98</x:v>
      </x:c>
    </x:row>
    <x:row r="48" ht="22" customHeight="1">
      <x:c r="B48" s="135" t="s">
        <x:v>99</x:v>
      </x:c>
      <x:c r="C48" s="135"/>
      <x:c r="D48" s="174"/>
      <x:c r="E48" s="174" t="n">
        <x:f t="shared" ref="E48:J48" si="10">SUM(E43:E47)</x:f>
        <x:v>57000</x:v>
      </x:c>
      <x:c r="F48" s="174" t="n">
        <x:f t="shared" si="10">SUM(F43:F47)</x:f>
        <x:v>25800</x:v>
      </x:c>
      <x:c r="G48" s="174" t="n">
        <x:f t="shared" si="10">SUM(G43:G47)</x:f>
        <x:v>27735.600000000002</x:v>
      </x:c>
      <x:c r="H48" s="174" t="n">
        <x:f t="shared" si="10">SUM(H43:H47)</x:f>
        <x:v>29817.060000000005</x:v>
      </x:c>
      <x:c r="I48" s="174" t="n">
        <x:f t="shared" si="10">SUM(I43:I47)</x:f>
        <x:v>32055.419640000007</x:v>
      </x:c>
      <x:c r="J48" s="174" t="n">
        <x:f t="shared" si="10">SUM(E48:I48)</x:f>
        <x:v>172408.07964</x:v>
      </x:c>
      <x:c r="K48" s="137" t="n">
        <x:f>J48/$J$51</x:f>
        <x:v>0.002332462188111797</x:v>
      </x:c>
      <x:c r="L48" s="187"/>
    </x:row>
    <x:row r="49" ht="15.75" customHeight="1">
      <x:c r="B49" s="89"/>
      <x:c r="C49" s="89"/>
      <x:c r="D49" s="176"/>
      <x:c r="E49" s="176"/>
      <x:c r="F49" s="176"/>
      <x:c r="G49" s="176"/>
      <x:c r="H49" s="176"/>
      <x:c r="I49" s="176"/>
      <x:c r="J49" s="176"/>
      <x:c r="K49" s="180"/>
      <x:c r="L49" s="188"/>
    </x:row>
    <x:row r="50" ht="22" customHeight="1">
      <x:c r="B50" s="103" t="s">
        <x:v>136</x:v>
      </x:c>
      <x:c r="C50" s="89"/>
      <x:c r="D50" s="176"/>
      <x:c r="E50" s="172" t="n">
        <x:f>(E15+E24+E32+E40+E48)*'Допущения'!$C$17</x:f>
        <x:v>202560</x:v>
      </x:c>
      <x:c r="F50" s="172" t="n">
        <x:f>(F15+F24+F32+F40+F48)*'Допущения'!$C$17</x:f>
        <x:v>606099</x:v>
      </x:c>
      <x:c r="G50" s="172" t="n">
        <x:f>(G15+G24+G32+G40+G48)*'Допущения'!$C$17</x:f>
        <x:v>1385265.96</x:v>
      </x:c>
      <x:c r="H50" s="172" t="n">
        <x:f>(H15+H24+H32+H40+H48)*'Допущения'!$C$17</x:f>
        <x:v>2766734.0603999994</x:v>
      </x:c>
      <x:c r="I50" s="172" t="n">
        <x:f>(I15+I24+I32+I40+I48)*'Допущения'!$C$17</x:f>
        <x:v>4680659.283683999</x:v>
      </x:c>
      <x:c r="J50" s="172" t="n">
        <x:f t="shared" ref="J50:J51" si="12">SUM(E50:I50)</x:f>
        <x:v>9641318.304084</x:v>
      </x:c>
      <x:c r="K50" s="180"/>
      <x:c r="L50" s="188" t="s">
        <x:v>137</x:v>
      </x:c>
    </x:row>
    <x:row r="51" ht="22" customHeight="1">
      <x:c r="B51" s="135" t="s">
        <x:v>138</x:v>
      </x:c>
      <x:c r="C51" s="141"/>
      <x:c r="D51" s="178"/>
      <x:c r="E51" s="174" t="n">
        <x:f t="shared" ref="E51:I51" si="11">E15+E24+E32+E40+E48+E50</x:f>
        <x:v>1552960</x:v>
      </x:c>
      <x:c r="F51" s="174" t="n">
        <x:f t="shared" si="11">F15+F24+F32+F40+F48+F50</x:f>
        <x:v>4646759</x:v>
      </x:c>
      <x:c r="G51" s="174" t="n">
        <x:f t="shared" si="11">G15+G24+G32+G40+G48+G50</x:f>
        <x:v>10620372.36</x:v>
      </x:c>
      <x:c r="H51" s="174" t="n">
        <x:f t="shared" si="11">H15+H24+H32+H40+H48+H50</x:f>
        <x:v>21211627.796399996</x:v>
      </x:c>
      <x:c r="I51" s="174" t="n">
        <x:f t="shared" si="11">I15+I24+I32+I40+I48+I50</x:f>
        <x:v>35885054.508244</x:v>
      </x:c>
      <x:c r="J51" s="174" t="n">
        <x:f t="shared" si="12">SUM(E51:I51)</x:f>
        <x:v>73916773.664644</x:v>
      </x:c>
      <x:c r="K51" s="182"/>
      <x:c r="L51" s="189"/>
    </x:row>
    <x:row r="52" ht="22" customHeight="1">
      <x:c r="B52" s="127" t="s">
        <x:v>139</x:v>
      </x:c>
      <x:c r="C52" s="127"/>
      <x:c r="D52" s="177"/>
      <x:c r="E52" s="177"/>
      <x:c r="F52" s="177"/>
      <x:c r="G52" s="177"/>
      <x:c r="H52" s="177"/>
      <x:c r="I52" s="177"/>
      <x:c r="J52" s="177"/>
      <x:c r="K52" s="181"/>
      <x:c r="L52" s="185"/>
    </x:row>
    <x:row r="53" ht="22" customHeight="1">
      <x:c r="B53" s="93" t="s">
        <x:v>140</x:v>
      </x:c>
      <x:c r="C53" s="89"/>
      <x:c r="D53" s="176"/>
      <x:c r="E53" s="172" t="n">
        <x:f>(1-'Допущения'!$C$20)*525600*'Допущения'!$C$19*'Допущения'!$C$21</x:f>
        <x:v>3153599.999999653</x:v>
      </x:c>
      <x:c r="F53" s="172" t="n">
        <x:f>(1-'Допущения'!$C$20)*525600*'Допущения'!$C$19*'Допущения'!$C$21</x:f>
        <x:v>3153599.999999653</x:v>
      </x:c>
      <x:c r="G53" s="172" t="n">
        <x:f>(1-'Допущения'!$C$20)*525600*'Допущения'!$C$19*'Допущения'!$C$21</x:f>
        <x:v>3153599.999999653</x:v>
      </x:c>
      <x:c r="H53" s="172" t="n">
        <x:f>(1-'Допущения'!$C$20)*525600*'Допущения'!$C$19*'Допущения'!$C$21</x:f>
        <x:v>3153599.999999653</x:v>
      </x:c>
      <x:c r="I53" s="172" t="n">
        <x:f>(1-'Допущения'!$C$20)*525600*'Допущения'!$C$19*'Допущения'!$C$21</x:f>
        <x:v>3153599.999999653</x:v>
      </x:c>
      <x:c r="J53" s="172" t="n">
        <x:f t="shared" ref="J53:J54" si="14">SUM(E53:I53)</x:f>
        <x:v>15767999.999998266</x:v>
      </x:c>
      <x:c r="K53" s="180"/>
      <x:c r="L53" s="188" t="s">
        <x:v>141</x:v>
      </x:c>
    </x:row>
    <x:row r="54" ht="22" customHeight="1">
      <x:c r="B54" s="135" t="s">
        <x:v>142</x:v>
      </x:c>
      <x:c r="C54" s="141"/>
      <x:c r="D54" s="178"/>
      <x:c r="E54" s="174" t="n">
        <x:f t="shared" ref="E54:I54" si="13">E51+E53</x:f>
        <x:v>4706559.999999654</x:v>
      </x:c>
      <x:c r="F54" s="174" t="n">
        <x:f t="shared" si="13">F51+F53</x:f>
        <x:v>7800358.999999654</x:v>
      </x:c>
      <x:c r="G54" s="174" t="n">
        <x:f t="shared" si="13">G51+G53</x:f>
        <x:v>13773972.359999653</x:v>
      </x:c>
      <x:c r="H54" s="174" t="n">
        <x:f t="shared" si="13">H51+H53</x:f>
        <x:v>24365227.79639965</x:v>
      </x:c>
      <x:c r="I54" s="174" t="n">
        <x:f t="shared" si="13">I51+I53</x:f>
        <x:v>39038654.50824365</x:v>
      </x:c>
      <x:c r="J54" s="174" t="n">
        <x:f t="shared" si="14">SUM(E54:I54)</x:f>
        <x:v>89684773.66464226</x:v>
      </x:c>
      <x:c r="K54" s="182"/>
      <x:c r="L54" s="189"/>
    </x:row>
    <x:row r="55" ht="22" customHeight="1">
      <x:c r="B55" s="93" t="s">
        <x:v>143</x:v>
      </x:c>
      <x:c r="C55" s="89"/>
      <x:c r="D55" s="176"/>
      <x:c r="E55" s="105" t="n">
        <x:f>1</x:f>
        <x:v>1</x:v>
      </x:c>
      <x:c r="F55" s="105" t="n">
        <x:f>1/(1+'Допущения'!$C$16)^1</x:f>
        <x:v>0.8333333333333334</x:v>
      </x:c>
      <x:c r="G55" s="105" t="n">
        <x:f>1/(1+'Допущения'!$C$16)^2</x:f>
        <x:v>0.6944444444444444</x:v>
      </x:c>
      <x:c r="H55" s="105" t="n">
        <x:f>1/(1+'Допущения'!$C$16)^3</x:f>
        <x:v>0.5787037037037038</x:v>
      </x:c>
      <x:c r="I55" s="105" t="n">
        <x:f>1/(1+'Допущения'!$C$16)^4</x:f>
        <x:v>0.4822530864197531</x:v>
      </x:c>
      <x:c r="J55" s="176"/>
      <x:c r="K55" s="180"/>
      <x:c r="L55" s="188"/>
    </x:row>
    <x:row r="56" ht="22" customHeight="1">
      <x:c r="B56" s="135" t="s">
        <x:v>144</x:v>
      </x:c>
      <x:c r="C56" s="141"/>
      <x:c r="D56" s="178"/>
      <x:c r="E56" s="174" t="n">
        <x:f t="shared" ref="E56:I56" si="15">E54*E55</x:f>
        <x:v>4706559.999999654</x:v>
      </x:c>
      <x:c r="F56" s="174" t="n">
        <x:f t="shared" si="15">F54*F55</x:f>
        <x:v>6500299.166666378</x:v>
      </x:c>
      <x:c r="G56" s="174" t="n">
        <x:f t="shared" si="15">G54*G55</x:f>
        <x:v>9565258.583333092</x:v>
      </x:c>
      <x:c r="H56" s="174" t="n">
        <x:f t="shared" si="15">H54*H55</x:f>
        <x:v>14100247.567360912</x:v>
      </x:c>
      <x:c r="I56" s="174" t="n">
        <x:f t="shared" si="15">I54*I55</x:f>
        <x:v>18826511.62627491</x:v>
      </x:c>
      <x:c r="J56" s="174" t="n">
        <x:f>SUM(E56:I56)</x:f>
        <x:v>53698876.94363494</x:v>
      </x:c>
      <x:c r="K56" s="182"/>
      <x:c r="L56" s="189"/>
    </x:row>
    <x:row r="57" ht="15.75" customHeight="1"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188"/>
    </x:row>
    <x:row r="58" ht="22" customHeight="1">
      <x:c r="B58" s="127" t="s">
        <x:v>145</x:v>
      </x:c>
      <x:c r="C58" s="127"/>
      <x:c r="D58" s="127"/>
      <x:c r="E58" s="127"/>
      <x:c r="F58" s="127"/>
      <x:c r="G58" s="127"/>
      <x:c r="H58" s="127"/>
      <x:c r="I58" s="127"/>
      <x:c r="J58" s="127"/>
      <x:c r="K58" s="127"/>
      <x:c r="L58" s="185"/>
    </x:row>
    <x:row r="59" ht="15.75" customHeight="1">
      <x:c r="B59" s="154" t="s">
        <x:v>146</x:v>
      </x:c>
      <x:c r="C59" s="148"/>
      <x:c r="D59" s="148"/>
      <x:c r="E59" s="183" t="n">
        <x:f>J51</x:f>
        <x:v>73916773.664644</x:v>
      </x:c>
      <x:c r="F59" s="197"/>
      <x:c r="G59" s="89"/>
      <x:c r="H59" s="89"/>
      <x:c r="I59" s="89"/>
      <x:c r="J59" s="89"/>
      <x:c r="K59" s="89"/>
      <x:c r="L59" s="188" t="s">
        <x:v>147</x:v>
      </x:c>
    </x:row>
    <x:row r="60" ht="15.75" customHeight="1">
      <x:c r="B60" s="154" t="s">
        <x:v>148</x:v>
      </x:c>
      <x:c r="C60" s="148"/>
      <x:c r="D60" s="148"/>
      <x:c r="E60" s="183" t="n">
        <x:f>J54</x:f>
        <x:v>89684773.66464226</x:v>
      </x:c>
      <x:c r="F60" s="197"/>
      <x:c r="G60" s="89"/>
      <x:c r="H60" s="89"/>
      <x:c r="I60" s="89"/>
      <x:c r="J60" s="89"/>
      <x:c r="K60" s="89"/>
      <x:c r="L60" s="188" t="s">
        <x:v>149</x:v>
      </x:c>
    </x:row>
    <x:row r="61" ht="15.75" customHeight="1">
      <x:c r="B61" s="154" t="s">
        <x:v>150</x:v>
      </x:c>
      <x:c r="C61" s="148"/>
      <x:c r="D61" s="148"/>
      <x:c r="E61" s="183" t="n">
        <x:f>J56</x:f>
        <x:v>53698876.94363494</x:v>
      </x:c>
      <x:c r="F61" s="197"/>
      <x:c r="G61" s="89"/>
      <x:c r="H61" s="89"/>
      <x:c r="I61" s="89"/>
      <x:c r="J61" s="89"/>
      <x:c r="K61" s="89"/>
      <x:c r="L61" s="188" t="s">
        <x:v>151</x:v>
      </x:c>
    </x:row>
    <x:row r="62" ht="15.75" customHeight="1">
      <x:c r="B62" s="154" t="s">
        <x:v>152</x:v>
      </x:c>
      <x:c r="C62" s="148"/>
      <x:c r="D62" s="148"/>
      <x:c r="E62" s="183" t="n">
        <x:f>J51/5</x:f>
        <x:v>14783354.732928801</x:v>
      </x:c>
      <x:c r="F62" s="197"/>
      <x:c r="G62" s="89"/>
      <x:c r="H62" s="89"/>
      <x:c r="I62" s="89"/>
      <x:c r="J62" s="89"/>
      <x:c r="K62" s="89"/>
      <x:c r="L62" s="188" t="s">
        <x:v>153</x:v>
      </x:c>
    </x:row>
    <x:row r="63" ht="15.75" customHeight="1">
      <x:c r="B63" s="154" t="s">
        <x:v>154</x:v>
      </x:c>
      <x:c r="C63" s="148"/>
      <x:c r="D63" s="148"/>
      <x:c r="E63" s="183" t="n">
        <x:f>E15/12</x:f>
        <x:v>4100</x:v>
      </x:c>
      <x:c r="F63" s="197"/>
      <x:c r="G63" s="89"/>
      <x:c r="H63" s="89"/>
      <x:c r="I63" s="89"/>
      <x:c r="J63" s="89"/>
      <x:c r="K63" s="89"/>
      <x:c r="L63" s="188" t="s">
        <x:v>155</x:v>
      </x:c>
    </x:row>
    <x:row r="64" ht="15.75" customHeight="1">
      <x:c r="B64" s="154" t="s">
        <x:v>156</x:v>
      </x:c>
      <x:c r="C64" s="148"/>
      <x:c r="D64" s="148"/>
      <x:c r="E64" s="150" t="str">
        <x:f>IF(E15/12&lt;='Допущения'!$C$18,"В бюджете CFO","ПРЕВЫШЕНИЕ бюджета")</x:f>
        <x:v>В бюджете CFO</x:v>
      </x:c>
      <x:c r="F64" s="197"/>
      <x:c r="G64" s="89"/>
      <x:c r="H64" s="89"/>
      <x:c r="I64" s="89"/>
      <x:c r="J64" s="89"/>
      <x:c r="K64" s="89"/>
      <x:c r="L64" s="188" t="s">
        <x:v>157</x:v>
      </x:c>
    </x:row>
    <x:row r="65" ht="15.75" customHeight="1">
      <x:c r="B65" s="154" t="s">
        <x:v>158</x:v>
      </x:c>
      <x:c r="C65" s="148"/>
      <x:c r="D65" s="148"/>
      <x:c r="E65" s="184" t="n">
        <x:f>J51/SUM('Допущения'!$C$8:$G$8)</x:f>
        <x:v>0.8992308231708516</x:v>
      </x:c>
      <x:c r="F65" s="197"/>
      <x:c r="G65" s="89"/>
      <x:c r="H65" s="89"/>
      <x:c r="I65" s="89"/>
      <x:c r="J65" s="89"/>
      <x:c r="K65" s="89"/>
      <x:c r="L65" s="188" t="s">
        <x:v>159</x:v>
      </x:c>
    </x:row>
    <x:row r="66" ht="15.75" customHeight="1">
      <x:c r="B66" s="154" t="s">
        <x:v>160</x:v>
      </x:c>
      <x:c r="C66" s="148"/>
      <x:c r="D66" s="148"/>
      <x:c r="E66" s="184" t="n">
        <x:f>I51/'Допущения'!$G$7</x:f>
        <x:v>3.5885054508244</x:v>
      </x:c>
      <x:c r="F66" s="197"/>
      <x:c r="G66" s="89"/>
      <x:c r="H66" s="89"/>
      <x:c r="I66" s="89"/>
      <x:c r="J66" s="89"/>
      <x:c r="K66" s="89"/>
      <x:c r="L66" s="188" t="s">
        <x:v>161</x:v>
      </x:c>
    </x:row>
    <x:row r="67" ht="15.75" customHeight="1">
      <x:c r="B67" s="154" t="s">
        <x:v>162</x:v>
      </x:c>
      <x:c r="C67" s="148"/>
      <x:c r="D67" s="148"/>
      <x:c r="E67" s="153" t="n">
        <x:f>J51/SUM('Допущения'!$C$10:$G$10)</x:f>
        <x:v>0.03571893962725621</x:v>
      </x:c>
      <x:c r="F67" s="197"/>
      <x:c r="G67" s="89"/>
      <x:c r="H67" s="89"/>
      <x:c r="I67" s="89"/>
      <x:c r="J67" s="89"/>
      <x:c r="K67" s="89"/>
      <x:c r="L67" s="188" t="s">
        <x:v>163</x:v>
      </x:c>
    </x:row>
    <x:row r="68" ht="15.75" customHeight="1">
      <x:c r="B68" s="154" t="s">
        <x:v>164</x:v>
      </x:c>
      <x:c r="C68" s="148"/>
      <x:c r="D68" s="148"/>
      <x:c r="E68" s="153" t="n">
        <x:f>J15/J51</x:f>
        <x:v>0.00965146725841522</x:v>
      </x:c>
      <x:c r="F68" s="197"/>
      <x:c r="G68" s="89"/>
      <x:c r="H68" s="89"/>
      <x:c r="I68" s="89"/>
      <x:c r="J68" s="89"/>
      <x:c r="K68" s="89"/>
      <x:c r="L68" s="188" t="s">
        <x:v>165</x:v>
      </x:c>
    </x:row>
    <x:row r="69" ht="15.75" customHeight="1">
      <x:c r="B69" s="154" t="s">
        <x:v>166</x:v>
      </x:c>
      <x:c r="C69" s="148"/>
      <x:c r="D69" s="148"/>
      <x:c r="E69" s="153" t="n">
        <x:f>J32/J51</x:f>
        <x:v>0.8216511217811756</x:v>
      </x:c>
      <x:c r="F69" s="197"/>
      <x:c r="G69" s="89"/>
      <x:c r="H69" s="89"/>
      <x:c r="I69" s="89"/>
      <x:c r="J69" s="89"/>
      <x:c r="K69" s="89"/>
      <x:c r="L69" s="188" t="s">
        <x:v>167</x:v>
      </x:c>
    </x:row>
    <x:row r="70" ht="15.75" customHeight="1">
      <x:c r="B70" s="154" t="s">
        <x:v>168</x:v>
      </x:c>
      <x:c r="C70" s="148"/>
      <x:c r="D70" s="148"/>
      <x:c r="E70" s="153" t="n">
        <x:f>J40/J51</x:f>
        <x:v>0.034128091470077684</x:v>
      </x:c>
      <x:c r="F70" s="197"/>
      <x:c r="G70" s="89"/>
      <x:c r="H70" s="89"/>
      <x:c r="I70" s="89"/>
      <x:c r="J70" s="89"/>
      <x:c r="K70" s="89"/>
      <x:c r="L70" s="188" t="s">
        <x:v>169</x:v>
      </x:c>
    </x:row>
    <x:row r="71" ht="15.75" customHeight="1">
      <x:c r="B71" s="89"/>
      <x:c r="C71" s="89"/>
      <x:c r="D71" s="89"/>
      <x:c r="E71" s="89"/>
      <x:c r="F71" s="89"/>
      <x:c r="G71" s="89"/>
      <x:c r="H71" s="89"/>
      <x:c r="I71" s="89"/>
      <x:c r="J71" s="89"/>
      <x:c r="K71" s="89"/>
      <x:c r="L71" s="188"/>
    </x:row>
    <x:row r="72" ht="22" customHeight="1">
      <x:c r="B72" s="130" t="s">
        <x:v>170</x:v>
      </x:c>
      <x:c r="C72" s="130"/>
      <x:c r="D72" s="130"/>
      <x:c r="E72" s="130"/>
      <x:c r="F72" s="130"/>
      <x:c r="G72" s="130"/>
      <x:c r="H72" s="130"/>
      <x:c r="I72" s="130"/>
      <x:c r="J72" s="130"/>
      <x:c r="K72" s="130"/>
      <x:c r="L72" s="191"/>
    </x:row>
    <x:row r="73" ht="15" customHeight="1">
      <x:c r="B73" s="198" t="str">
        <x:v>Вывод для ADR</x:v>
      </x:c>
      <x:c r="C73" s="199"/>
      <x:c r="D73" s="199"/>
      <x:c r="E73" s="199"/>
      <x:c r="F73" s="199"/>
      <x:c r="G73" s="199"/>
      <x:c r="H73" s="199"/>
      <x:c r="I73" s="199"/>
      <x:c r="J73" s="199"/>
      <x:c r="K73" s="199"/>
      <x:c r="L73" s="200"/>
    </x:row>
    <x:row r="74" ht="34" customHeight="1">
      <x:c r="B74" s="165" t="str">
        <x:v>Модульный монолит выбран для MVP: он единственный укладывается в $5 000/мес и доступную команду. Точка пересмотра - более 3 млн активных пользователей или независимый выпуск каталога и оплаты.</x:v>
      </x:c>
      <x:c r="C74" s="166"/>
      <x:c r="D74" s="166"/>
      <x:c r="E74" s="166"/>
      <x:c r="F74" s="166"/>
      <x:c r="G74" s="166"/>
      <x:c r="H74" s="166"/>
      <x:c r="I74" s="166"/>
      <x:c r="J74" s="166"/>
      <x:c r="K74" s="166"/>
      <x:c r="L74" s="193"/>
    </x:row>
    <x:row r="75" ht="34" customHeight="1">
      <x:c r="B75" s="168"/>
      <x:c r="C75" s="169"/>
      <x:c r="D75" s="169"/>
      <x:c r="E75" s="169"/>
      <x:c r="F75" s="169"/>
      <x:c r="G75" s="169"/>
      <x:c r="H75" s="169"/>
      <x:c r="I75" s="169"/>
      <x:c r="J75" s="169"/>
      <x:c r="K75" s="169"/>
      <x:c r="L75" s="194"/>
    </x:row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E66:F66"/>
    <x:mergeCell ref="E67:F67"/>
    <x:mergeCell ref="E68:F68"/>
    <x:mergeCell ref="E69:F69"/>
    <x:mergeCell ref="E70:F70"/>
    <x:mergeCell ref="B72:L72"/>
    <x:mergeCell ref="B73:L75"/>
    <x:mergeCell ref="E59:F59"/>
    <x:mergeCell ref="E60:F60"/>
    <x:mergeCell ref="E61:F61"/>
    <x:mergeCell ref="E62:F62"/>
    <x:mergeCell ref="E63:F63"/>
    <x:mergeCell ref="E64:F64"/>
    <x:mergeCell ref="E65:F65"/>
  </x:mergeCells>
  <x:dataValidations count="2">
    <x:dataValidation type="list" allowBlank="1" sqref="C6:C51">
      <x:formula1>"фикс,инфляция,ФОТ,пользователи,заказы,GMV"</x:formula1>
    </x:dataValidation>
    <x:dataValidation type="list" sqref="C7:C47">
      <x:formula1>"фикс,инфляция,ФОТ,пользователи,заказы,GMV,нагрузка"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42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46" hidden="0" customWidth="1"/>
  </x:cols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</x:row>
    <x:row r="2">
      <x:c r="A2"/>
      <x:c r="B2" s="121" t="str">
        <x:v>TCO на 5 лет - крупные сервисы</x:v>
      </x:c>
      <x:c r="C2" s="121"/>
      <x:c r="D2" s="121"/>
      <x:c r="E2" s="121"/>
      <x:c r="F2" s="121"/>
      <x:c r="G2" s="121"/>
      <x:c r="H2" s="121"/>
      <x:c r="I2" s="121"/>
      <x:c r="J2" s="121"/>
      <x:c r="K2" s="121"/>
      <x:c r="L2" s="121"/>
    </x:row>
    <x:row r="3">
      <x:c r="A3"/>
      <x:c r="B3" s="122" t="s">
        <x:v>77</x:v>
      </x:c>
      <x:c r="C3" s="122"/>
      <x:c r="D3" s="122"/>
      <x:c r="E3" s="122"/>
      <x:c r="F3" s="122"/>
      <x:c r="G3" s="122"/>
      <x:c r="H3" s="122"/>
      <x:c r="I3" s="122"/>
      <x:c r="J3" s="122"/>
      <x:c r="K3" s="122"/>
      <x:c r="L3" s="122"/>
    </x:row>
    <x:row r="4">
      <x:c r="A4"/>
      <x:c r="B4" s="89"/>
      <x:c r="C4" s="89"/>
      <x:c r="D4" s="89"/>
      <x:c r="E4" s="89"/>
      <x:c r="F4" s="89"/>
      <x:c r="G4" s="89"/>
      <x:c r="H4" s="89"/>
      <x:c r="I4" s="89"/>
      <x:c r="J4" s="89"/>
      <x:c r="K4" s="89"/>
      <x:c r="L4" s="89"/>
    </x:row>
    <x:row r="5" ht="22" customHeight="1">
      <x:c r="A5"/>
      <x:c r="B5" s="209" t="s">
        <x:v>78</x:v>
      </x:c>
      <x:c r="C5" s="209" t="s">
        <x:v>79</x:v>
      </x:c>
      <x:c r="D5" s="209" t="s">
        <x:v>80</x:v>
      </x:c>
      <x:c r="E5" s="209" t="s">
        <x:v>40</x:v>
      </x:c>
      <x:c r="F5" s="209" t="s">
        <x:v>41</x:v>
      </x:c>
      <x:c r="G5" s="209" t="s">
        <x:v>42</x:v>
      </x:c>
      <x:c r="H5" s="209" t="s">
        <x:v>43</x:v>
      </x:c>
      <x:c r="I5" s="209" t="s">
        <x:v>44</x:v>
      </x:c>
      <x:c r="J5" s="209" t="s">
        <x:v>81</x:v>
      </x:c>
      <x:c r="K5" s="209" t="s">
        <x:v>82</x:v>
      </x:c>
      <x:c r="L5" s="209" t="s">
        <x:v>45</x:v>
      </x:c>
    </x:row>
    <x:row r="6" ht="22" customHeight="1">
      <x:c r="A6"/>
      <x:c r="B6" s="130" t="s">
        <x:v>83</x:v>
      </x:c>
      <x:c r="C6" s="130"/>
      <x:c r="D6" s="130"/>
      <x:c r="E6" s="130"/>
      <x:c r="F6" s="130"/>
      <x:c r="G6" s="130"/>
      <x:c r="H6" s="130"/>
      <x:c r="I6" s="130"/>
      <x:c r="J6" s="130"/>
      <x:c r="K6" s="130"/>
      <x:c r="L6" s="191"/>
    </x:row>
    <x:row r="7">
      <x:c r="A7"/>
      <x:c r="B7" s="89" t="s">
        <x:v>84</x:v>
      </x:c>
      <x:c r="C7" s="146" t="str">
        <x:v>нагрузка</x:v>
      </x:c>
      <x:c r="D7" s="175" t="n">
        <x:v>14400</x:v>
      </x:c>
      <x:c r="E7" s="176" t="n">
        <x:f>IF($D7="","",$D7*INDEX('Допущения'!$C$25:$G$31,MATCH($C7,'Допущения'!$B$25:$B$31,0),1))</x:f>
        <x:v>14400</x:v>
      </x:c>
      <x:c r="F7" s="176" t="n">
        <x:f>IF($D7="","",$D7*INDEX('Допущения'!$C$25:$G$31,MATCH($C7,'Допущения'!$B$25:$B$31,0),2))</x:f>
        <x:v>24480</x:v>
      </x:c>
      <x:c r="G7" s="176" t="n">
        <x:f>IF($D7="","",$D7*INDEX('Допущения'!$C$25:$G$31,MATCH($C7,'Допущения'!$B$25:$B$31,0),3))</x:f>
        <x:v>40320</x:v>
      </x:c>
      <x:c r="H7" s="176" t="n">
        <x:f>IF($D7="","",$D7*INDEX('Допущения'!$C$25:$G$31,MATCH($C7,'Допущения'!$B$25:$B$31,0),4))</x:f>
        <x:v>64800</x:v>
      </x:c>
      <x:c r="I7" s="176" t="n">
        <x:f>IF($D7="","",$D7*INDEX('Допущения'!$C$25:$G$31,MATCH($C7,'Допущения'!$B$25:$B$31,0),5))</x:f>
        <x:v>86400</x:v>
      </x:c>
      <x:c r="J7" s="176" t="n">
        <x:f>SUM(E7:I7)</x:f>
        <x:v>230400</x:v>
      </x:c>
      <x:c r="K7" s="180"/>
      <x:c r="L7" s="188" t="s">
        <x:v>85</x:v>
      </x:c>
    </x:row>
    <x:row r="8">
      <x:c r="A8"/>
      <x:c r="B8" s="89" t="s">
        <x:v>86</x:v>
      </x:c>
      <x:c r="C8" s="146" t="str">
        <x:v>нагрузка</x:v>
      </x:c>
      <x:c r="D8" s="175" t="n">
        <x:v>18000</x:v>
      </x:c>
      <x:c r="E8" s="176" t="n">
        <x:f>IF($D8="","",$D8*INDEX('Допущения'!$C$25:$G$31,MATCH($C8,'Допущения'!$B$25:$B$31,0),1))</x:f>
        <x:v>18000</x:v>
      </x:c>
      <x:c r="F8" s="176" t="n">
        <x:f>IF($D8="","",$D8*INDEX('Допущения'!$C$25:$G$31,MATCH($C8,'Допущения'!$B$25:$B$31,0),2))</x:f>
        <x:v>30600</x:v>
      </x:c>
      <x:c r="G8" s="176" t="n">
        <x:f>IF($D8="","",$D8*INDEX('Допущения'!$C$25:$G$31,MATCH($C8,'Допущения'!$B$25:$B$31,0),3))</x:f>
        <x:v>50400</x:v>
      </x:c>
      <x:c r="H8" s="176" t="n">
        <x:f>IF($D8="","",$D8*INDEX('Допущения'!$C$25:$G$31,MATCH($C8,'Допущения'!$B$25:$B$31,0),4))</x:f>
        <x:v>81000</x:v>
      </x:c>
      <x:c r="I8" s="176" t="n">
        <x:f>IF($D8="","",$D8*INDEX('Допущения'!$C$25:$G$31,MATCH($C8,'Допущения'!$B$25:$B$31,0),5))</x:f>
        <x:v>108000</x:v>
      </x:c>
      <x:c r="J8" s="176" t="n">
        <x:f>SUM(E8:I8)</x:f>
        <x:v>288000</x:v>
      </x:c>
      <x:c r="K8" s="180"/>
      <x:c r="L8" s="188" t="s">
        <x:v>87</x:v>
      </x:c>
    </x:row>
    <x:row r="9">
      <x:c r="A9"/>
      <x:c r="B9" s="89" t="s">
        <x:v>88</x:v>
      </x:c>
      <x:c r="C9" s="146" t="str">
        <x:v>нагрузка</x:v>
      </x:c>
      <x:c r="D9" s="175" t="n">
        <x:v>4800</x:v>
      </x:c>
      <x:c r="E9" s="176" t="n">
        <x:f>IF($D9="","",$D9*INDEX('Допущения'!$C$25:$G$31,MATCH($C9,'Допущения'!$B$25:$B$31,0),1))</x:f>
        <x:v>4800</x:v>
      </x:c>
      <x:c r="F9" s="176" t="n">
        <x:f>IF($D9="","",$D9*INDEX('Допущения'!$C$25:$G$31,MATCH($C9,'Допущения'!$B$25:$B$31,0),2))</x:f>
        <x:v>8160</x:v>
      </x:c>
      <x:c r="G9" s="176" t="n">
        <x:f>IF($D9="","",$D9*INDEX('Допущения'!$C$25:$G$31,MATCH($C9,'Допущения'!$B$25:$B$31,0),3))</x:f>
        <x:v>13440</x:v>
      </x:c>
      <x:c r="H9" s="176" t="n">
        <x:f>IF($D9="","",$D9*INDEX('Допущения'!$C$25:$G$31,MATCH($C9,'Допущения'!$B$25:$B$31,0),4))</x:f>
        <x:v>21600</x:v>
      </x:c>
      <x:c r="I9" s="176" t="n">
        <x:f>IF($D9="","",$D9*INDEX('Допущения'!$C$25:$G$31,MATCH($C9,'Допущения'!$B$25:$B$31,0),5))</x:f>
        <x:v>28800</x:v>
      </x:c>
      <x:c r="J9" s="176" t="n">
        <x:f>SUM(E9:I9)</x:f>
        <x:v>76800</x:v>
      </x:c>
      <x:c r="K9" s="180"/>
      <x:c r="L9" s="188" t="s">
        <x:v>89</x:v>
      </x:c>
    </x:row>
    <x:row r="10">
      <x:c r="A10"/>
      <x:c r="B10" s="89" t="s">
        <x:v>90</x:v>
      </x:c>
      <x:c r="C10" s="146" t="str">
        <x:v>нагрузка</x:v>
      </x:c>
      <x:c r="D10" s="175" t="n">
        <x:v>8400</x:v>
      </x:c>
      <x:c r="E10" s="176" t="n">
        <x:f>IF($D10="","",$D10*INDEX('Допущения'!$C$25:$G$31,MATCH($C10,'Допущения'!$B$25:$B$31,0),1))</x:f>
        <x:v>8400</x:v>
      </x:c>
      <x:c r="F10" s="176" t="n">
        <x:f>IF($D10="","",$D10*INDEX('Допущения'!$C$25:$G$31,MATCH($C10,'Допущения'!$B$25:$B$31,0),2))</x:f>
        <x:v>14280</x:v>
      </x:c>
      <x:c r="G10" s="176" t="n">
        <x:f>IF($D10="","",$D10*INDEX('Допущения'!$C$25:$G$31,MATCH($C10,'Допущения'!$B$25:$B$31,0),3))</x:f>
        <x:v>23520</x:v>
      </x:c>
      <x:c r="H10" s="176" t="n">
        <x:f>IF($D10="","",$D10*INDEX('Допущения'!$C$25:$G$31,MATCH($C10,'Допущения'!$B$25:$B$31,0),4))</x:f>
        <x:v>37800</x:v>
      </x:c>
      <x:c r="I10" s="176" t="n">
        <x:f>IF($D10="","",$D10*INDEX('Допущения'!$C$25:$G$31,MATCH($C10,'Допущения'!$B$25:$B$31,0),5))</x:f>
        <x:v>50400</x:v>
      </x:c>
      <x:c r="J10" s="176" t="n">
        <x:f>SUM(E10:I10)</x:f>
        <x:v>134400</x:v>
      </x:c>
      <x:c r="K10" s="180"/>
      <x:c r="L10" s="188" t="s">
        <x:v>91</x:v>
      </x:c>
    </x:row>
    <x:row r="11">
      <x:c r="A11"/>
      <x:c r="B11" s="89" t="s">
        <x:v>92</x:v>
      </x:c>
      <x:c r="C11" s="146" t="str">
        <x:v>нагрузка</x:v>
      </x:c>
      <x:c r="D11" s="175" t="n">
        <x:v>7200</x:v>
      </x:c>
      <x:c r="E11" s="176" t="n">
        <x:f>IF($D11="","",$D11*INDEX('Допущения'!$C$25:$G$31,MATCH($C11,'Допущения'!$B$25:$B$31,0),1))</x:f>
        <x:v>7200</x:v>
      </x:c>
      <x:c r="F11" s="176" t="n">
        <x:f>IF($D11="","",$D11*INDEX('Допущения'!$C$25:$G$31,MATCH($C11,'Допущения'!$B$25:$B$31,0),2))</x:f>
        <x:v>12240</x:v>
      </x:c>
      <x:c r="G11" s="176" t="n">
        <x:f>IF($D11="","",$D11*INDEX('Допущения'!$C$25:$G$31,MATCH($C11,'Допущения'!$B$25:$B$31,0),3))</x:f>
        <x:v>20160</x:v>
      </x:c>
      <x:c r="H11" s="176" t="n">
        <x:f>IF($D11="","",$D11*INDEX('Допущения'!$C$25:$G$31,MATCH($C11,'Допущения'!$B$25:$B$31,0),4))</x:f>
        <x:v>32400</x:v>
      </x:c>
      <x:c r="I11" s="176" t="n">
        <x:f>IF($D11="","",$D11*INDEX('Допущения'!$C$25:$G$31,MATCH($C11,'Допущения'!$B$25:$B$31,0),5))</x:f>
        <x:v>43200</x:v>
      </x:c>
      <x:c r="J11" s="176" t="n">
        <x:f>SUM(E11:I11)</x:f>
        <x:v>115200</x:v>
      </x:c>
      <x:c r="K11" s="180"/>
      <x:c r="L11" s="188" t="s">
        <x:v>93</x:v>
      </x:c>
    </x:row>
    <x:row r="12">
      <x:c r="A12"/>
      <x:c r="B12" s="89" t="s">
        <x:v>94</x:v>
      </x:c>
      <x:c r="C12" s="146" t="str">
        <x:v>нагрузка</x:v>
      </x:c>
      <x:c r="D12" s="175" t="n">
        <x:v>8400</x:v>
      </x:c>
      <x:c r="E12" s="176" t="n">
        <x:f>IF($D12="","",$D12*INDEX('Допущения'!$C$25:$G$31,MATCH($C12,'Допущения'!$B$25:$B$31,0),1))</x:f>
        <x:v>8400</x:v>
      </x:c>
      <x:c r="F12" s="176" t="n">
        <x:f>IF($D12="","",$D12*INDEX('Допущения'!$C$25:$G$31,MATCH($C12,'Допущения'!$B$25:$B$31,0),2))</x:f>
        <x:v>14280</x:v>
      </x:c>
      <x:c r="G12" s="176" t="n">
        <x:f>IF($D12="","",$D12*INDEX('Допущения'!$C$25:$G$31,MATCH($C12,'Допущения'!$B$25:$B$31,0),3))</x:f>
        <x:v>23520</x:v>
      </x:c>
      <x:c r="H12" s="176" t="n">
        <x:f>IF($D12="","",$D12*INDEX('Допущения'!$C$25:$G$31,MATCH($C12,'Допущения'!$B$25:$B$31,0),4))</x:f>
        <x:v>37800</x:v>
      </x:c>
      <x:c r="I12" s="176" t="n">
        <x:f>IF($D12="","",$D12*INDEX('Допущения'!$C$25:$G$31,MATCH($C12,'Допущения'!$B$25:$B$31,0),5))</x:f>
        <x:v>50400</x:v>
      </x:c>
      <x:c r="J12" s="176" t="n">
        <x:f>SUM(E12:I12)</x:f>
        <x:v>134400</x:v>
      </x:c>
      <x:c r="K12" s="180"/>
      <x:c r="L12" s="188" t="s">
        <x:v>95</x:v>
      </x:c>
    </x:row>
    <x:row r="13">
      <x:c r="A13"/>
      <x:c r="B13" s="89" t="s">
        <x:v>96</x:v>
      </x:c>
      <x:c r="C13" s="146" t="str">
        <x:v>инфляция</x:v>
      </x:c>
      <x:c r="D13" s="175" t="n">
        <x:v>7200</x:v>
      </x:c>
      <x:c r="E13" s="176" t="n">
        <x:f>IF($D13="","",$D13*INDEX('Допущения'!$C$25:$G$31,MATCH($C13,'Допущения'!$B$25:$B$31,0),1))</x:f>
        <x:v>7200</x:v>
      </x:c>
      <x:c r="F13" s="176" t="n">
        <x:f>IF($D13="","",$D13*INDEX('Допущения'!$C$25:$G$31,MATCH($C13,'Допущения'!$B$25:$B$31,0),2))</x:f>
        <x:v>7704</x:v>
      </x:c>
      <x:c r="G13" s="176" t="n">
        <x:f>IF($D13="","",$D13*INDEX('Допущения'!$C$25:$G$31,MATCH($C13,'Допущения'!$B$25:$B$31,0),3))</x:f>
        <x:v>8243.28</x:v>
      </x:c>
      <x:c r="H13" s="176" t="n">
        <x:f>IF($D13="","",$D13*INDEX('Допущения'!$C$25:$G$31,MATCH($C13,'Допущения'!$B$25:$B$31,0),4))</x:f>
        <x:v>8820.3096</x:v>
      </x:c>
      <x:c r="I13" s="176" t="n">
        <x:f>IF($D13="","",$D13*INDEX('Допущения'!$C$25:$G$31,MATCH($C13,'Допущения'!$B$25:$B$31,0),5))</x:f>
        <x:v>9437.731272</x:v>
      </x:c>
      <x:c r="J13" s="176" t="n">
        <x:f>SUM(E13:I13)</x:f>
        <x:v>41405.320872</x:v>
      </x:c>
      <x:c r="K13" s="180"/>
      <x:c r="L13" s="188" t="s">
        <x:v>97</x:v>
      </x:c>
    </x:row>
    <x:row r="14">
      <x:c r="A14"/>
      <x:c r="B14" s="89"/>
      <x:c r="C14" s="146" t="str">
        <x:v>фикс</x:v>
      </x:c>
      <x:c r="D14" s="175"/>
      <x:c r="E14" s="176" t="str">
        <x:f>IF($D14="","",$D14*INDEX('Допущения'!$C$25:$G$31,MATCH($C14,'Допущения'!$B$25:$B$31,0),1))</x:f>
      </x:c>
      <x:c r="F14" s="176" t="str">
        <x:f>IF($D14="","",$D14*INDEX('Допущения'!$C$25:$G$31,MATCH($C14,'Допущения'!$B$25:$B$31,0),2))</x:f>
      </x:c>
      <x:c r="G14" s="176" t="str">
        <x:f>IF($D14="","",$D14*INDEX('Допущения'!$C$25:$G$31,MATCH($C14,'Допущения'!$B$25:$B$31,0),3))</x:f>
      </x:c>
      <x:c r="H14" s="176" t="str">
        <x:f>IF($D14="","",$D14*INDEX('Допущения'!$C$25:$G$31,MATCH($C14,'Допущения'!$B$25:$B$31,0),4))</x:f>
      </x:c>
      <x:c r="I14" s="176" t="str">
        <x:f>IF($D14="","",$D14*INDEX('Допущения'!$C$25:$G$31,MATCH($C14,'Допущения'!$B$25:$B$31,0),5))</x:f>
      </x:c>
      <x:c r="J14" s="176" t="n">
        <x:f>SUM(E14:I14)</x:f>
        <x:v>0</x:v>
      </x:c>
      <x:c r="K14" s="180"/>
      <x:c r="L14" s="188" t="s">
        <x:v>98</x:v>
      </x:c>
    </x:row>
    <x:row r="15" ht="22" customHeight="1">
      <x:c r="A15"/>
      <x:c r="B15" s="141" t="s">
        <x:v>99</x:v>
      </x:c>
      <x:c r="C15" s="210"/>
      <x:c r="D15" s="213"/>
      <x:c r="E15" s="178" t="n">
        <x:f>SUM(E7:E14)</x:f>
        <x:v>68400</x:v>
      </x:c>
      <x:c r="F15" s="178" t="n">
        <x:f>SUM(F7:F14)</x:f>
        <x:v>111744</x:v>
      </x:c>
      <x:c r="G15" s="178" t="n">
        <x:f>SUM(G7:G14)</x:f>
        <x:v>179603.28</x:v>
      </x:c>
      <x:c r="H15" s="178" t="n">
        <x:f>SUM(H7:H14)</x:f>
        <x:v>284220.3096</x:v>
      </x:c>
      <x:c r="I15" s="178" t="n">
        <x:f>SUM(I7:I14)</x:f>
        <x:v>376637.731272</x:v>
      </x:c>
      <x:c r="J15" s="178" t="n">
        <x:f>SUM(E15:I15)</x:f>
        <x:v>1020605.3208720001</x:v>
      </x:c>
      <x:c r="K15" s="182" t="n">
        <x:f>J15/$J$51</x:f>
        <x:v>0.013574284461480625</x:v>
      </x:c>
      <x:c r="L15" s="189"/>
    </x:row>
    <x:row r="16">
      <x:c r="A16"/>
      <x:c r="B16" s="89"/>
      <x:c r="C16" s="146"/>
      <x:c r="D16" s="175"/>
      <x:c r="E16" s="176"/>
      <x:c r="F16" s="176"/>
      <x:c r="G16" s="176"/>
      <x:c r="H16" s="176"/>
      <x:c r="I16" s="176"/>
      <x:c r="J16" s="176"/>
      <x:c r="K16" s="180"/>
      <x:c r="L16" s="188"/>
    </x:row>
    <x:row r="17" ht="22" customHeight="1">
      <x:c r="A17"/>
      <x:c r="B17" s="130" t="s">
        <x:v>100</x:v>
      </x:c>
      <x:c r="C17" s="210"/>
      <x:c r="D17" s="213"/>
      <x:c r="E17" s="214"/>
      <x:c r="F17" s="214"/>
      <x:c r="G17" s="214"/>
      <x:c r="H17" s="214"/>
      <x:c r="I17" s="214"/>
      <x:c r="J17" s="214"/>
      <x:c r="K17" s="215"/>
      <x:c r="L17" s="191"/>
    </x:row>
    <x:row r="18">
      <x:c r="A18"/>
      <x:c r="B18" s="89" t="s">
        <x:v>101</x:v>
      </x:c>
      <x:c r="C18" s="146" t="str">
        <x:v>нагрузка</x:v>
      </x:c>
      <x:c r="D18" s="175" t="n">
        <x:v>6000</x:v>
      </x:c>
      <x:c r="E18" s="176" t="n">
        <x:f>IF($D18="","",$D18*INDEX('Допущения'!$C$25:$G$31,MATCH($C18,'Допущения'!$B$25:$B$31,0),1))</x:f>
        <x:v>6000</x:v>
      </x:c>
      <x:c r="F18" s="176" t="n">
        <x:f>IF($D18="","",$D18*INDEX('Допущения'!$C$25:$G$31,MATCH($C18,'Допущения'!$B$25:$B$31,0),2))</x:f>
        <x:v>10200</x:v>
      </x:c>
      <x:c r="G18" s="176" t="n">
        <x:f>IF($D18="","",$D18*INDEX('Допущения'!$C$25:$G$31,MATCH($C18,'Допущения'!$B$25:$B$31,0),3))</x:f>
        <x:v>16800</x:v>
      </x:c>
      <x:c r="H18" s="176" t="n">
        <x:f>IF($D18="","",$D18*INDEX('Допущения'!$C$25:$G$31,MATCH($C18,'Допущения'!$B$25:$B$31,0),4))</x:f>
        <x:v>27000</x:v>
      </x:c>
      <x:c r="I18" s="176" t="n">
        <x:f>IF($D18="","",$D18*INDEX('Допущения'!$C$25:$G$31,MATCH($C18,'Допущения'!$B$25:$B$31,0),5))</x:f>
        <x:v>36000</x:v>
      </x:c>
      <x:c r="J18" s="176" t="n">
        <x:f>SUM(E18:I18)</x:f>
        <x:v>96000</x:v>
      </x:c>
      <x:c r="K18" s="180"/>
      <x:c r="L18" s="188" t="s">
        <x:v>102</x:v>
      </x:c>
    </x:row>
    <x:row r="19">
      <x:c r="A19"/>
      <x:c r="B19" s="89" t="s">
        <x:v>103</x:v>
      </x:c>
      <x:c r="C19" s="146" t="str">
        <x:v>инфляция</x:v>
      </x:c>
      <x:c r="D19" s="175" t="n">
        <x:v>3600</x:v>
      </x:c>
      <x:c r="E19" s="176" t="n">
        <x:f>IF($D19="","",$D19*INDEX('Допущения'!$C$25:$G$31,MATCH($C19,'Допущения'!$B$25:$B$31,0),1))</x:f>
        <x:v>3600</x:v>
      </x:c>
      <x:c r="F19" s="176" t="n">
        <x:f>IF($D19="","",$D19*INDEX('Допущения'!$C$25:$G$31,MATCH($C19,'Допущения'!$B$25:$B$31,0),2))</x:f>
        <x:v>3852</x:v>
      </x:c>
      <x:c r="G19" s="176" t="n">
        <x:f>IF($D19="","",$D19*INDEX('Допущения'!$C$25:$G$31,MATCH($C19,'Допущения'!$B$25:$B$31,0),3))</x:f>
        <x:v>4121.64</x:v>
      </x:c>
      <x:c r="H19" s="176" t="n">
        <x:f>IF($D19="","",$D19*INDEX('Допущения'!$C$25:$G$31,MATCH($C19,'Допущения'!$B$25:$B$31,0),4))</x:f>
        <x:v>4410.1548</x:v>
      </x:c>
      <x:c r="I19" s="176" t="n">
        <x:f>IF($D19="","",$D19*INDEX('Допущения'!$C$25:$G$31,MATCH($C19,'Допущения'!$B$25:$B$31,0),5))</x:f>
        <x:v>4718.865636</x:v>
      </x:c>
      <x:c r="J19" s="176" t="n">
        <x:f>SUM(E19:I19)</x:f>
        <x:v>20702.660436</x:v>
      </x:c>
      <x:c r="K19" s="180"/>
      <x:c r="L19" s="188" t="s">
        <x:v>104</x:v>
      </x:c>
    </x:row>
    <x:row r="20">
      <x:c r="A20"/>
      <x:c r="B20" s="89" t="s">
        <x:v>105</x:v>
      </x:c>
      <x:c r="C20" s="146" t="str">
        <x:v>нагрузка</x:v>
      </x:c>
      <x:c r="D20" s="175" t="n">
        <x:v>4800</x:v>
      </x:c>
      <x:c r="E20" s="176" t="n">
        <x:f>IF($D20="","",$D20*INDEX('Допущения'!$C$25:$G$31,MATCH($C20,'Допущения'!$B$25:$B$31,0),1))</x:f>
        <x:v>4800</x:v>
      </x:c>
      <x:c r="F20" s="176" t="n">
        <x:f>IF($D20="","",$D20*INDEX('Допущения'!$C$25:$G$31,MATCH($C20,'Допущения'!$B$25:$B$31,0),2))</x:f>
        <x:v>8160</x:v>
      </x:c>
      <x:c r="G20" s="176" t="n">
        <x:f>IF($D20="","",$D20*INDEX('Допущения'!$C$25:$G$31,MATCH($C20,'Допущения'!$B$25:$B$31,0),3))</x:f>
        <x:v>13440</x:v>
      </x:c>
      <x:c r="H20" s="176" t="n">
        <x:f>IF($D20="","",$D20*INDEX('Допущения'!$C$25:$G$31,MATCH($C20,'Допущения'!$B$25:$B$31,0),4))</x:f>
        <x:v>21600</x:v>
      </x:c>
      <x:c r="I20" s="176" t="n">
        <x:f>IF($D20="","",$D20*INDEX('Допущения'!$C$25:$G$31,MATCH($C20,'Допущения'!$B$25:$B$31,0),5))</x:f>
        <x:v>28800</x:v>
      </x:c>
      <x:c r="J20" s="176" t="n">
        <x:f>SUM(E20:I20)</x:f>
        <x:v>76800</x:v>
      </x:c>
      <x:c r="K20" s="180"/>
      <x:c r="L20" s="188" t="s">
        <x:v>106</x:v>
      </x:c>
    </x:row>
    <x:row r="21">
      <x:c r="A21"/>
      <x:c r="B21" s="89" t="s">
        <x:v>107</x:v>
      </x:c>
      <x:c r="C21" s="146" t="str">
        <x:v>инфляция</x:v>
      </x:c>
      <x:c r="D21" s="175" t="n">
        <x:v>1200</x:v>
      </x:c>
      <x:c r="E21" s="176" t="n">
        <x:f>IF($D21="","",$D21*INDEX('Допущения'!$C$25:$G$31,MATCH($C21,'Допущения'!$B$25:$B$31,0),1))</x:f>
        <x:v>1200</x:v>
      </x:c>
      <x:c r="F21" s="176" t="n">
        <x:f>IF($D21="","",$D21*INDEX('Допущения'!$C$25:$G$31,MATCH($C21,'Допущения'!$B$25:$B$31,0),2))</x:f>
        <x:v>1284</x:v>
      </x:c>
      <x:c r="G21" s="176" t="n">
        <x:f>IF($D21="","",$D21*INDEX('Допущения'!$C$25:$G$31,MATCH($C21,'Допущения'!$B$25:$B$31,0),3))</x:f>
        <x:v>1373.88</x:v>
      </x:c>
      <x:c r="H21" s="176" t="n">
        <x:f>IF($D21="","",$D21*INDEX('Допущения'!$C$25:$G$31,MATCH($C21,'Допущения'!$B$25:$B$31,0),4))</x:f>
        <x:v>1470.0516000000002</x:v>
      </x:c>
      <x:c r="I21" s="176" t="n">
        <x:f>IF($D21="","",$D21*INDEX('Допущения'!$C$25:$G$31,MATCH($C21,'Допущения'!$B$25:$B$31,0),5))</x:f>
        <x:v>1572.9552120000003</x:v>
      </x:c>
      <x:c r="J21" s="176" t="n">
        <x:f>SUM(E21:I21)</x:f>
        <x:v>6900.886812000001</x:v>
      </x:c>
      <x:c r="K21" s="180"/>
      <x:c r="L21" s="188" t="s">
        <x:v>108</x:v>
      </x:c>
    </x:row>
    <x:row r="22">
      <x:c r="A22"/>
      <x:c r="B22" s="89" t="s">
        <x:v>109</x:v>
      </x:c>
      <x:c r="C22" s="146" t="str">
        <x:v>инфляция</x:v>
      </x:c>
      <x:c r="D22" s="175" t="n">
        <x:v>1800</x:v>
      </x:c>
      <x:c r="E22" s="176" t="n">
        <x:f>IF($D22="","",$D22*INDEX('Допущения'!$C$25:$G$31,MATCH($C22,'Допущения'!$B$25:$B$31,0),1))</x:f>
        <x:v>1800</x:v>
      </x:c>
      <x:c r="F22" s="176" t="n">
        <x:f>IF($D22="","",$D22*INDEX('Допущения'!$C$25:$G$31,MATCH($C22,'Допущения'!$B$25:$B$31,0),2))</x:f>
        <x:v>1926</x:v>
      </x:c>
      <x:c r="G22" s="176" t="n">
        <x:f>IF($D22="","",$D22*INDEX('Допущения'!$C$25:$G$31,MATCH($C22,'Допущения'!$B$25:$B$31,0),3))</x:f>
        <x:v>2060.82</x:v>
      </x:c>
      <x:c r="H22" s="176" t="n">
        <x:f>IF($D22="","",$D22*INDEX('Допущения'!$C$25:$G$31,MATCH($C22,'Допущения'!$B$25:$B$31,0),4))</x:f>
        <x:v>2205.0774</x:v>
      </x:c>
      <x:c r="I22" s="176" t="n">
        <x:f>IF($D22="","",$D22*INDEX('Допущения'!$C$25:$G$31,MATCH($C22,'Допущения'!$B$25:$B$31,0),5))</x:f>
        <x:v>2359.432818</x:v>
      </x:c>
      <x:c r="J22" s="176" t="n">
        <x:f>SUM(E22:I22)</x:f>
        <x:v>10351.330218</x:v>
      </x:c>
      <x:c r="K22" s="180"/>
      <x:c r="L22" s="188" t="str">
        <x:v>Трекер работ, дизайн, аналитика</x:v>
      </x:c>
    </x:row>
    <x:row r="23">
      <x:c r="A23"/>
      <x:c r="B23" s="89"/>
      <x:c r="C23" s="146" t="str">
        <x:v>фикс</x:v>
      </x:c>
      <x:c r="D23" s="175"/>
      <x:c r="E23" s="176" t="str">
        <x:f>IF($D23="","",$D23*INDEX('Допущения'!$C$25:$G$31,MATCH($C23,'Допущения'!$B$25:$B$31,0),1))</x:f>
      </x:c>
      <x:c r="F23" s="176" t="str">
        <x:f>IF($D23="","",$D23*INDEX('Допущения'!$C$25:$G$31,MATCH($C23,'Допущения'!$B$25:$B$31,0),2))</x:f>
      </x:c>
      <x:c r="G23" s="176" t="str">
        <x:f>IF($D23="","",$D23*INDEX('Допущения'!$C$25:$G$31,MATCH($C23,'Допущения'!$B$25:$B$31,0),3))</x:f>
      </x:c>
      <x:c r="H23" s="176" t="str">
        <x:f>IF($D23="","",$D23*INDEX('Допущения'!$C$25:$G$31,MATCH($C23,'Допущения'!$B$25:$B$31,0),4))</x:f>
      </x:c>
      <x:c r="I23" s="176" t="str">
        <x:f>IF($D23="","",$D23*INDEX('Допущения'!$C$25:$G$31,MATCH($C23,'Допущения'!$B$25:$B$31,0),5))</x:f>
      </x:c>
      <x:c r="J23" s="176" t="n">
        <x:f>SUM(E23:I23)</x:f>
        <x:v>0</x:v>
      </x:c>
      <x:c r="K23" s="180"/>
      <x:c r="L23" s="188" t="s">
        <x:v>98</x:v>
      </x:c>
    </x:row>
    <x:row r="24" ht="22" customHeight="1">
      <x:c r="A24"/>
      <x:c r="B24" s="141" t="s">
        <x:v>99</x:v>
      </x:c>
      <x:c r="C24" s="210"/>
      <x:c r="D24" s="213"/>
      <x:c r="E24" s="178" t="n">
        <x:f>SUM(E18:E23)</x:f>
        <x:v>17400</x:v>
      </x:c>
      <x:c r="F24" s="178" t="n">
        <x:f>SUM(F18:F23)</x:f>
        <x:v>25422</x:v>
      </x:c>
      <x:c r="G24" s="178" t="n">
        <x:f>SUM(G18:G23)</x:f>
        <x:v>37796.34</x:v>
      </x:c>
      <x:c r="H24" s="178" t="n">
        <x:f>SUM(H18:H23)</x:f>
        <x:v>56685.283800000005</x:v>
      </x:c>
      <x:c r="I24" s="178" t="n">
        <x:f>SUM(I18:I23)</x:f>
        <x:v>73451.253666</x:v>
      </x:c>
      <x:c r="J24" s="178" t="n">
        <x:f>SUM(E24:I24)</x:f>
        <x:v>210754.877466</x:v>
      </x:c>
      <x:c r="K24" s="182" t="n">
        <x:f>J24/$J$51</x:f>
        <x:v>0.002803088128056871</x:v>
      </x:c>
      <x:c r="L24" s="189"/>
    </x:row>
    <x:row r="25">
      <x:c r="A25"/>
      <x:c r="B25" s="89"/>
      <x:c r="C25" s="146"/>
      <x:c r="D25" s="175"/>
      <x:c r="E25" s="176"/>
      <x:c r="F25" s="176"/>
      <x:c r="G25" s="176"/>
      <x:c r="H25" s="176"/>
      <x:c r="I25" s="176"/>
      <x:c r="J25" s="176"/>
      <x:c r="K25" s="180"/>
      <x:c r="L25" s="188"/>
    </x:row>
    <x:row r="26" ht="22" customHeight="1">
      <x:c r="A26"/>
      <x:c r="B26" s="130" t="s">
        <x:v>110</x:v>
      </x:c>
      <x:c r="C26" s="210"/>
      <x:c r="D26" s="213"/>
      <x:c r="E26" s="214"/>
      <x:c r="F26" s="214"/>
      <x:c r="G26" s="214"/>
      <x:c r="H26" s="214"/>
      <x:c r="I26" s="214"/>
      <x:c r="J26" s="214"/>
      <x:c r="K26" s="215"/>
      <x:c r="L26" s="191"/>
    </x:row>
    <x:row r="27">
      <x:c r="A27"/>
      <x:c r="B27" s="89" t="s">
        <x:v>111</x:v>
      </x:c>
      <x:c r="C27" s="146" t="str">
        <x:v>GMV</x:v>
      </x:c>
      <x:c r="D27" s="175" t="n">
        <x:v>580800</x:v>
      </x:c>
      <x:c r="E27" s="176" t="n">
        <x:f>IF($D27="","",$D27*INDEX('Допущения'!$C$25:$G$31,MATCH($C27,'Допущения'!$B$25:$B$31,0),1))</x:f>
        <x:v>580800</x:v>
      </x:c>
      <x:c r="F27" s="176" t="n">
        <x:f>IF($D27="","",$D27*INDEX('Допущения'!$C$25:$G$31,MATCH($C27,'Допущения'!$B$25:$B$31,0),2))</x:f>
        <x:v>2530000</x:v>
      </x:c>
      <x:c r="G27" s="176" t="n">
        <x:f>IF($D27="","",$D27*INDEX('Допущения'!$C$25:$G$31,MATCH($C27,'Допущения'!$B$25:$B$31,0),3))</x:f>
        <x:v>6335999.999999999</x:v>
      </x:c>
      <x:c r="H27" s="176" t="n">
        <x:f>IF($D27="","",$D27*INDEX('Допущения'!$C$25:$G$31,MATCH($C27,'Допущения'!$B$25:$B$31,0),4))</x:f>
        <x:v>13200000</x:v>
      </x:c>
      <x:c r="I27" s="176" t="n">
        <x:f>IF($D27="","",$D27*INDEX('Допущения'!$C$25:$G$31,MATCH($C27,'Допущения'!$B$25:$B$31,0),5))</x:f>
        <x:v>22880000</x:v>
      </x:c>
      <x:c r="J27" s="176" t="n">
        <x:f>SUM(E27:I27)</x:f>
        <x:v>45526800</x:v>
      </x:c>
      <x:c r="K27" s="180"/>
      <x:c r="L27" s="188" t="str">
        <x:v>≈2,2% от GMV: M-Pesa (Кения), Flutterwave / Paystack (Нигерия)</x:v>
      </x:c>
    </x:row>
    <x:row r="28">
      <x:c r="A28"/>
      <x:c r="B28" s="89" t="s">
        <x:v>112</x:v>
      </x:c>
      <x:c r="C28" s="146" t="str">
        <x:v>заказы</x:v>
      </x:c>
      <x:c r="D28" s="175" t="n">
        <x:v>30000</x:v>
      </x:c>
      <x:c r="E28" s="176" t="n">
        <x:f>IF($D28="","",$D28*INDEX('Допущения'!$C$25:$G$31,MATCH($C28,'Допущения'!$B$25:$B$31,0),1))</x:f>
        <x:v>30000</x:v>
      </x:c>
      <x:c r="F28" s="176" t="n">
        <x:f>IF($D28="","",$D28*INDEX('Допущения'!$C$25:$G$31,MATCH($C28,'Допущения'!$B$25:$B$31,0),2))</x:f>
        <x:v>125000.00000000001</x:v>
      </x:c>
      <x:c r="G28" s="176" t="n">
        <x:f>IF($D28="","",$D28*INDEX('Допущения'!$C$25:$G$31,MATCH($C28,'Допущения'!$B$25:$B$31,0),3))</x:f>
        <x:v>300000</x:v>
      </x:c>
      <x:c r="H28" s="176" t="n">
        <x:f>IF($D28="","",$D28*INDEX('Допущения'!$C$25:$G$31,MATCH($C28,'Допущения'!$B$25:$B$31,0),4))</x:f>
        <x:v>600000</x:v>
      </x:c>
      <x:c r="I28" s="176" t="n">
        <x:f>IF($D28="","",$D28*INDEX('Допущения'!$C$25:$G$31,MATCH($C28,'Допущения'!$B$25:$B$31,0),5))</x:f>
        <x:v>1000000.0000000001</x:v>
      </x:c>
      <x:c r="J28" s="176" t="n">
        <x:f>SUM(E28:I28)</x:f>
        <x:v>2055000</x:v>
      </x:c>
      <x:c r="K28" s="180"/>
      <x:c r="L28" s="188" t="s">
        <x:v>113</x:v>
      </x:c>
    </x:row>
    <x:row r="29">
      <x:c r="A29"/>
      <x:c r="B29" s="89" t="s">
        <x:v>114</x:v>
      </x:c>
      <x:c r="C29" s="146" t="str">
        <x:v>заказы</x:v>
      </x:c>
      <x:c r="D29" s="175" t="n">
        <x:v>12000</x:v>
      </x:c>
      <x:c r="E29" s="176" t="n">
        <x:f>IF($D29="","",$D29*INDEX('Допущения'!$C$25:$G$31,MATCH($C29,'Допущения'!$B$25:$B$31,0),1))</x:f>
        <x:v>12000</x:v>
      </x:c>
      <x:c r="F29" s="176" t="n">
        <x:f>IF($D29="","",$D29*INDEX('Допущения'!$C$25:$G$31,MATCH($C29,'Допущения'!$B$25:$B$31,0),2))</x:f>
        <x:v>50000</x:v>
      </x:c>
      <x:c r="G29" s="176" t="n">
        <x:f>IF($D29="","",$D29*INDEX('Допущения'!$C$25:$G$31,MATCH($C29,'Допущения'!$B$25:$B$31,0),3))</x:f>
        <x:v>120000</x:v>
      </x:c>
      <x:c r="H29" s="176" t="n">
        <x:f>IF($D29="","",$D29*INDEX('Допущения'!$C$25:$G$31,MATCH($C29,'Допущения'!$B$25:$B$31,0),4))</x:f>
        <x:v>240000</x:v>
      </x:c>
      <x:c r="I29" s="176" t="n">
        <x:f>IF($D29="","",$D29*INDEX('Допущения'!$C$25:$G$31,MATCH($C29,'Допущения'!$B$25:$B$31,0),5))</x:f>
        <x:v>400000</x:v>
      </x:c>
      <x:c r="J29" s="176" t="n">
        <x:f>SUM(E29:I29)</x:f>
        <x:v>822000</x:v>
      </x:c>
      <x:c r="K29" s="180"/>
      <x:c r="L29" s="188" t="s">
        <x:v>115</x:v>
      </x:c>
    </x:row>
    <x:row r="30">
      <x:c r="A30"/>
      <x:c r="B30" s="89" t="s">
        <x:v>116</x:v>
      </x:c>
      <x:c r="C30" s="146" t="str">
        <x:v>заказы</x:v>
      </x:c>
      <x:c r="D30" s="175" t="n">
        <x:v>180000</x:v>
      </x:c>
      <x:c r="E30" s="176" t="n">
        <x:f>IF($D30="","",$D30*INDEX('Допущения'!$C$25:$G$31,MATCH($C30,'Допущения'!$B$25:$B$31,0),1))</x:f>
        <x:v>180000</x:v>
      </x:c>
      <x:c r="F30" s="176" t="n">
        <x:f>IF($D30="","",$D30*INDEX('Допущения'!$C$25:$G$31,MATCH($C30,'Допущения'!$B$25:$B$31,0),2))</x:f>
        <x:v>750000</x:v>
      </x:c>
      <x:c r="G30" s="176" t="n">
        <x:f>IF($D30="","",$D30*INDEX('Допущения'!$C$25:$G$31,MATCH($C30,'Допущения'!$B$25:$B$31,0),3))</x:f>
        <x:v>1800000</x:v>
      </x:c>
      <x:c r="H30" s="176" t="n">
        <x:f>IF($D30="","",$D30*INDEX('Допущения'!$C$25:$G$31,MATCH($C30,'Допущения'!$B$25:$B$31,0),4))</x:f>
        <x:v>3600000</x:v>
      </x:c>
      <x:c r="I30" s="176" t="n">
        <x:f>IF($D30="","",$D30*INDEX('Допущения'!$C$25:$G$31,MATCH($C30,'Допущения'!$B$25:$B$31,0),5))</x:f>
        <x:v>6000000</x:v>
      </x:c>
      <x:c r="J30" s="176" t="n">
        <x:f>SUM(E30:I30)</x:f>
        <x:v>12330000</x:v>
      </x:c>
      <x:c r="K30" s="180"/>
      <x:c r="L30" s="188" t="s">
        <x:v>117</x:v>
      </x:c>
    </x:row>
    <x:row r="31">
      <x:c r="A31"/>
      <x:c r="B31" s="89"/>
      <x:c r="C31" s="146" t="str">
        <x:v>фикс</x:v>
      </x:c>
      <x:c r="D31" s="175"/>
      <x:c r="E31" s="176" t="str">
        <x:f>IF($D31="","",$D31*INDEX('Допущения'!$C$25:$G$31,MATCH($C31,'Допущения'!$B$25:$B$31,0),1))</x:f>
      </x:c>
      <x:c r="F31" s="176" t="str">
        <x:f>IF($D31="","",$D31*INDEX('Допущения'!$C$25:$G$31,MATCH($C31,'Допущения'!$B$25:$B$31,0),2))</x:f>
      </x:c>
      <x:c r="G31" s="176" t="str">
        <x:f>IF($D31="","",$D31*INDEX('Допущения'!$C$25:$G$31,MATCH($C31,'Допущения'!$B$25:$B$31,0),3))</x:f>
      </x:c>
      <x:c r="H31" s="176" t="str">
        <x:f>IF($D31="","",$D31*INDEX('Допущения'!$C$25:$G$31,MATCH($C31,'Допущения'!$B$25:$B$31,0),4))</x:f>
      </x:c>
      <x:c r="I31" s="176" t="str">
        <x:f>IF($D31="","",$D31*INDEX('Допущения'!$C$25:$G$31,MATCH($C31,'Допущения'!$B$25:$B$31,0),5))</x:f>
      </x:c>
      <x:c r="J31" s="176" t="n">
        <x:f>SUM(E31:I31)</x:f>
        <x:v>0</x:v>
      </x:c>
      <x:c r="K31" s="180"/>
      <x:c r="L31" s="188" t="s">
        <x:v>98</x:v>
      </x:c>
    </x:row>
    <x:row r="32" ht="22" customHeight="1">
      <x:c r="A32"/>
      <x:c r="B32" s="141" t="s">
        <x:v>99</x:v>
      </x:c>
      <x:c r="C32" s="210"/>
      <x:c r="D32" s="213"/>
      <x:c r="E32" s="178" t="n">
        <x:f>SUM(E27:E31)</x:f>
        <x:v>802800</x:v>
      </x:c>
      <x:c r="F32" s="178" t="n">
        <x:f>SUM(F27:F31)</x:f>
        <x:v>3455000</x:v>
      </x:c>
      <x:c r="G32" s="178" t="n">
        <x:f>SUM(G27:G31)</x:f>
        <x:v>8556000</x:v>
      </x:c>
      <x:c r="H32" s="178" t="n">
        <x:f>SUM(H27:H31)</x:f>
        <x:v>17640000</x:v>
      </x:c>
      <x:c r="I32" s="178" t="n">
        <x:f>SUM(I27:I31)</x:f>
        <x:v>30280000</x:v>
      </x:c>
      <x:c r="J32" s="178" t="n">
        <x:f>SUM(E32:I32)</x:f>
        <x:v>60733800</x:v>
      </x:c>
      <x:c r="K32" s="182" t="n">
        <x:f>J32/$J$51</x:f>
        <x:v>0.8077734465682518</x:v>
      </x:c>
      <x:c r="L32" s="189"/>
    </x:row>
    <x:row r="33">
      <x:c r="A33"/>
      <x:c r="B33" s="89"/>
      <x:c r="C33" s="146"/>
      <x:c r="D33" s="175"/>
      <x:c r="E33" s="176"/>
      <x:c r="F33" s="176"/>
      <x:c r="G33" s="176"/>
      <x:c r="H33" s="176"/>
      <x:c r="I33" s="176"/>
      <x:c r="J33" s="176"/>
      <x:c r="K33" s="180"/>
      <x:c r="L33" s="188"/>
    </x:row>
    <x:row r="34" ht="22" customHeight="1">
      <x:c r="A34"/>
      <x:c r="B34" s="130" t="s">
        <x:v>118</x:v>
      </x:c>
      <x:c r="C34" s="210"/>
      <x:c r="D34" s="213"/>
      <x:c r="E34" s="214"/>
      <x:c r="F34" s="214"/>
      <x:c r="G34" s="214"/>
      <x:c r="H34" s="214"/>
      <x:c r="I34" s="214"/>
      <x:c r="J34" s="214"/>
      <x:c r="K34" s="215"/>
      <x:c r="L34" s="191"/>
    </x:row>
    <x:row r="35">
      <x:c r="A35"/>
      <x:c r="B35" s="89" t="s">
        <x:v>119</x:v>
      </x:c>
      <x:c r="C35" s="146" t="str">
        <x:v>ФОТ</x:v>
      </x:c>
      <x:c r="D35" s="175" t="n">
        <x:v>300000</x:v>
      </x:c>
      <x:c r="E35" s="176" t="n">
        <x:f>IF($D35="","",$D35*INDEX('Допущения'!$C$25:$G$31,MATCH($C35,'Допущения'!$B$25:$B$31,0),1))</x:f>
        <x:v>300000</x:v>
      </x:c>
      <x:c r="F35" s="176" t="n">
        <x:f>IF($D35="","",$D35*INDEX('Допущения'!$C$25:$G$31,MATCH($C35,'Допущения'!$B$25:$B$31,0),2))</x:f>
        <x:v>324000</x:v>
      </x:c>
      <x:c r="G35" s="176" t="n">
        <x:f>IF($D35="","",$D35*INDEX('Допущения'!$C$25:$G$31,MATCH($C35,'Допущения'!$B$25:$B$31,0),3))</x:f>
        <x:v>349920.00000000006</x:v>
      </x:c>
      <x:c r="H35" s="176" t="n">
        <x:f>IF($D35="","",$D35*INDEX('Допущения'!$C$25:$G$31,MATCH($C35,'Допущения'!$B$25:$B$31,0),4))</x:f>
        <x:v>377913.60000000003</x:v>
      </x:c>
      <x:c r="I35" s="176" t="n">
        <x:f>IF($D35="","",$D35*INDEX('Допущения'!$C$25:$G$31,MATCH($C35,'Допущения'!$B$25:$B$31,0),5))</x:f>
        <x:v>408146.6880000001</x:v>
      </x:c>
      <x:c r="J35" s="176" t="n">
        <x:f>SUM(E35:I35)</x:f>
        <x:v>1759980.2880000002</x:v>
      </x:c>
      <x:c r="K35" s="180"/>
      <x:c r="L35" s="188" t="s">
        <x:v>120</x:v>
      </x:c>
    </x:row>
    <x:row r="36">
      <x:c r="A36"/>
      <x:c r="B36" s="89" t="s">
        <x:v>121</x:v>
      </x:c>
      <x:c r="C36" s="146" t="str">
        <x:v>ФОТ</x:v>
      </x:c>
      <x:c r="D36" s="175" t="n">
        <x:v>70000</x:v>
      </x:c>
      <x:c r="E36" s="176" t="n">
        <x:f>IF($D36="","",$D36*INDEX('Допущения'!$C$25:$G$31,MATCH($C36,'Допущения'!$B$25:$B$31,0),1))</x:f>
        <x:v>70000</x:v>
      </x:c>
      <x:c r="F36" s="176" t="n">
        <x:f>IF($D36="","",$D36*INDEX('Допущения'!$C$25:$G$31,MATCH($C36,'Допущения'!$B$25:$B$31,0),2))</x:f>
        <x:v>75600</x:v>
      </x:c>
      <x:c r="G36" s="176" t="n">
        <x:f>IF($D36="","",$D36*INDEX('Допущения'!$C$25:$G$31,MATCH($C36,'Допущения'!$B$25:$B$31,0),3))</x:f>
        <x:v>81648</x:v>
      </x:c>
      <x:c r="H36" s="176" t="n">
        <x:f>IF($D36="","",$D36*INDEX('Допущения'!$C$25:$G$31,MATCH($C36,'Допущения'!$B$25:$B$31,0),4))</x:f>
        <x:v>88179.84000000001</x:v>
      </x:c>
      <x:c r="I36" s="176" t="n">
        <x:f>IF($D36="","",$D36*INDEX('Допущения'!$C$25:$G$31,MATCH($C36,'Допущения'!$B$25:$B$31,0),5))</x:f>
        <x:v>95234.22720000002</x:v>
      </x:c>
      <x:c r="J36" s="176" t="n">
        <x:f>SUM(E36:I36)</x:f>
        <x:v>410662.06720000005</x:v>
      </x:c>
      <x:c r="K36" s="180"/>
      <x:c r="L36" s="188" t="s">
        <x:v>122</x:v>
      </x:c>
    </x:row>
    <x:row r="37">
      <x:c r="A37"/>
      <x:c r="B37" s="89" t="s">
        <x:v>123</x:v>
      </x:c>
      <x:c r="C37" s="146" t="str">
        <x:v>ФОТ</x:v>
      </x:c>
      <x:c r="D37" s="175" t="n">
        <x:v>72000</x:v>
      </x:c>
      <x:c r="E37" s="176" t="n">
        <x:f>IF($D37="","",$D37*INDEX('Допущения'!$C$25:$G$31,MATCH($C37,'Допущения'!$B$25:$B$31,0),1))</x:f>
        <x:v>72000</x:v>
      </x:c>
      <x:c r="F37" s="176" t="n">
        <x:f>IF($D37="","",$D37*INDEX('Допущения'!$C$25:$G$31,MATCH($C37,'Допущения'!$B$25:$B$31,0),2))</x:f>
        <x:v>77760</x:v>
      </x:c>
      <x:c r="G37" s="176" t="n">
        <x:f>IF($D37="","",$D37*INDEX('Допущения'!$C$25:$G$31,MATCH($C37,'Допущения'!$B$25:$B$31,0),3))</x:f>
        <x:v>83980.8</x:v>
      </x:c>
      <x:c r="H37" s="176" t="n">
        <x:f>IF($D37="","",$D37*INDEX('Допущения'!$C$25:$G$31,MATCH($C37,'Допущения'!$B$25:$B$31,0),4))</x:f>
        <x:v>90699.26400000001</x:v>
      </x:c>
      <x:c r="I37" s="176" t="n">
        <x:f>IF($D37="","",$D37*INDEX('Допущения'!$C$25:$G$31,MATCH($C37,'Допущения'!$B$25:$B$31,0),5))</x:f>
        <x:v>97955.20512000003</x:v>
      </x:c>
      <x:c r="J37" s="176" t="n">
        <x:f>SUM(E37:I37)</x:f>
        <x:v>422395.26912000007</x:v>
      </x:c>
      <x:c r="K37" s="180"/>
      <x:c r="L37" s="188" t="s">
        <x:v>124</x:v>
      </x:c>
    </x:row>
    <x:row r="38">
      <x:c r="A38"/>
      <x:c r="B38" s="89" t="s">
        <x:v>125</x:v>
      </x:c>
      <x:c r="C38" s="146" t="str">
        <x:v>ФОТ</x:v>
      </x:c>
      <x:c r="D38" s="175" t="n">
        <x:v>100000</x:v>
      </x:c>
      <x:c r="E38" s="176" t="n">
        <x:f>IF($D38="","",$D38*INDEX('Допущения'!$C$25:$G$31,MATCH($C38,'Допущения'!$B$25:$B$31,0),1))</x:f>
        <x:v>100000</x:v>
      </x:c>
      <x:c r="F38" s="176" t="n">
        <x:f>IF($D38="","",$D38*INDEX('Допущения'!$C$25:$G$31,MATCH($C38,'Допущения'!$B$25:$B$31,0),2))</x:f>
        <x:v>108000</x:v>
      </x:c>
      <x:c r="G38" s="176" t="n">
        <x:f>IF($D38="","",$D38*INDEX('Допущения'!$C$25:$G$31,MATCH($C38,'Допущения'!$B$25:$B$31,0),3))</x:f>
        <x:v>116640.00000000001</x:v>
      </x:c>
      <x:c r="H38" s="176" t="n">
        <x:f>IF($D38="","",$D38*INDEX('Допущения'!$C$25:$G$31,MATCH($C38,'Допущения'!$B$25:$B$31,0),4))</x:f>
        <x:v>125971.20000000001</x:v>
      </x:c>
      <x:c r="I38" s="176" t="n">
        <x:f>IF($D38="","",$D38*INDEX('Допущения'!$C$25:$G$31,MATCH($C38,'Допущения'!$B$25:$B$31,0),5))</x:f>
        <x:v>136048.89600000004</x:v>
      </x:c>
      <x:c r="J38" s="176" t="n">
        <x:f>SUM(E38:I38)</x:f>
        <x:v>586660.096</x:v>
      </x:c>
      <x:c r="K38" s="180"/>
      <x:c r="L38" s="188" t="s">
        <x:v>126</x:v>
      </x:c>
    </x:row>
    <x:row r="39">
      <x:c r="A39"/>
      <x:c r="B39" s="89"/>
      <x:c r="C39" s="146" t="str">
        <x:v>фикс</x:v>
      </x:c>
      <x:c r="D39" s="175"/>
      <x:c r="E39" s="176" t="str">
        <x:f>IF($D39="","",$D39*INDEX('Допущения'!$C$25:$G$31,MATCH($C39,'Допущения'!$B$25:$B$31,0),1))</x:f>
      </x:c>
      <x:c r="F39" s="176" t="str">
        <x:f>IF($D39="","",$D39*INDEX('Допущения'!$C$25:$G$31,MATCH($C39,'Допущения'!$B$25:$B$31,0),2))</x:f>
      </x:c>
      <x:c r="G39" s="176" t="str">
        <x:f>IF($D39="","",$D39*INDEX('Допущения'!$C$25:$G$31,MATCH($C39,'Допущения'!$B$25:$B$31,0),3))</x:f>
      </x:c>
      <x:c r="H39" s="176" t="str">
        <x:f>IF($D39="","",$D39*INDEX('Допущения'!$C$25:$G$31,MATCH($C39,'Допущения'!$B$25:$B$31,0),4))</x:f>
      </x:c>
      <x:c r="I39" s="176" t="str">
        <x:f>IF($D39="","",$D39*INDEX('Допущения'!$C$25:$G$31,MATCH($C39,'Допущения'!$B$25:$B$31,0),5))</x:f>
      </x:c>
      <x:c r="J39" s="176" t="n">
        <x:f>SUM(E39:I39)</x:f>
        <x:v>0</x:v>
      </x:c>
      <x:c r="K39" s="180"/>
      <x:c r="L39" s="188" t="s">
        <x:v>98</x:v>
      </x:c>
    </x:row>
    <x:row r="40" ht="22" customHeight="1">
      <x:c r="A40"/>
      <x:c r="B40" s="141" t="s">
        <x:v>99</x:v>
      </x:c>
      <x:c r="C40" s="210"/>
      <x:c r="D40" s="213"/>
      <x:c r="E40" s="178" t="n">
        <x:f>SUM(E35:E39)</x:f>
        <x:v>542000</x:v>
      </x:c>
      <x:c r="F40" s="178" t="n">
        <x:f>SUM(F35:F39)</x:f>
        <x:v>585360</x:v>
      </x:c>
      <x:c r="G40" s="178" t="n">
        <x:f>SUM(G35:G39)</x:f>
        <x:v>632188.8</x:v>
      </x:c>
      <x:c r="H40" s="178" t="n">
        <x:f>SUM(H35:H39)</x:f>
        <x:v>682763.9040000001</x:v>
      </x:c>
      <x:c r="I40" s="178" t="n">
        <x:f>SUM(I35:I39)</x:f>
        <x:v>737385.0163200002</x:v>
      </x:c>
      <x:c r="J40" s="178" t="n">
        <x:f>SUM(E40:I40)</x:f>
        <x:v>3179697.7203200003</x:v>
      </x:c>
      <x:c r="K40" s="182" t="n">
        <x:f>J40/$J$51</x:f>
        <x:v>0.042290707753970605</x:v>
      </x:c>
      <x:c r="L40" s="189"/>
    </x:row>
    <x:row r="41">
      <x:c r="A41"/>
      <x:c r="B41" s="89"/>
      <x:c r="C41" s="146"/>
      <x:c r="D41" s="175"/>
      <x:c r="E41" s="176"/>
      <x:c r="F41" s="176"/>
      <x:c r="G41" s="176"/>
      <x:c r="H41" s="176"/>
      <x:c r="I41" s="176"/>
      <x:c r="J41" s="176"/>
      <x:c r="K41" s="180"/>
      <x:c r="L41" s="188"/>
    </x:row>
    <x:row r="42" ht="22" customHeight="1">
      <x:c r="A42"/>
      <x:c r="B42" s="130" t="s">
        <x:v>127</x:v>
      </x:c>
      <x:c r="C42" s="210"/>
      <x:c r="D42" s="213"/>
      <x:c r="E42" s="214"/>
      <x:c r="F42" s="214"/>
      <x:c r="G42" s="214"/>
      <x:c r="H42" s="214"/>
      <x:c r="I42" s="214"/>
      <x:c r="J42" s="214"/>
      <x:c r="K42" s="215"/>
      <x:c r="L42" s="191"/>
    </x:row>
    <x:row r="43">
      <x:c r="A43"/>
      <x:c r="B43" s="89" t="s">
        <x:v>128</x:v>
      </x:c>
      <x:c r="C43" s="146" t="str">
        <x:v>фикс</x:v>
      </x:c>
      <x:c r="D43" s="175" t="n">
        <x:v>18000</x:v>
      </x:c>
      <x:c r="E43" s="176" t="n">
        <x:v>18000</x:v>
      </x:c>
      <x:c r="F43" s="176" t="n">
        <x:v>0</x:v>
      </x:c>
      <x:c r="G43" s="176" t="n">
        <x:v>0</x:v>
      </x:c>
      <x:c r="H43" s="176" t="n">
        <x:v>0</x:v>
      </x:c>
      <x:c r="I43" s="176" t="n">
        <x:v>0</x:v>
      </x:c>
      <x:c r="J43" s="176" t="n">
        <x:f>SUM(E43:I43)</x:f>
        <x:v>18000</x:v>
      </x:c>
      <x:c r="K43" s="180"/>
      <x:c r="L43" s="188" t="s">
        <x:v>129</x:v>
      </x:c>
    </x:row>
    <x:row r="44">
      <x:c r="A44"/>
      <x:c r="B44" s="89" t="s">
        <x:v>130</x:v>
      </x:c>
      <x:c r="C44" s="146" t="str">
        <x:v>инфляция</x:v>
      </x:c>
      <x:c r="D44" s="175" t="n">
        <x:v>15000</x:v>
      </x:c>
      <x:c r="E44" s="176" t="n">
        <x:f>IF($D44="","",$D44*INDEX('Допущения'!$C$25:$G$31,MATCH($C44,'Допущения'!$B$25:$B$31,0),1))</x:f>
        <x:v>15000</x:v>
      </x:c>
      <x:c r="F44" s="176" t="n">
        <x:f>IF($D44="","",$D44*INDEX('Допущения'!$C$25:$G$31,MATCH($C44,'Допущения'!$B$25:$B$31,0),2))</x:f>
        <x:v>16050.000000000002</x:v>
      </x:c>
      <x:c r="G44" s="176" t="n">
        <x:f>IF($D44="","",$D44*INDEX('Допущения'!$C$25:$G$31,MATCH($C44,'Допущения'!$B$25:$B$31,0),3))</x:f>
        <x:v>17173.5</x:v>
      </x:c>
      <x:c r="H44" s="176" t="n">
        <x:f>IF($D44="","",$D44*INDEX('Допущения'!$C$25:$G$31,MATCH($C44,'Допущения'!$B$25:$B$31,0),4))</x:f>
        <x:v>18375.645</x:v>
      </x:c>
      <x:c r="I44" s="176" t="n">
        <x:f>IF($D44="","",$D44*INDEX('Допущения'!$C$25:$G$31,MATCH($C44,'Допущения'!$B$25:$B$31,0),5))</x:f>
        <x:v>19661.940150000002</x:v>
      </x:c>
      <x:c r="J44" s="176" t="n">
        <x:f>SUM(E44:I44)</x:f>
        <x:v>86261.08515</x:v>
      </x:c>
      <x:c r="K44" s="180"/>
      <x:c r="L44" s="188" t="s">
        <x:v>131</x:v>
      </x:c>
    </x:row>
    <x:row r="45">
      <x:c r="A45"/>
      <x:c r="B45" s="89" t="s">
        <x:v>132</x:v>
      </x:c>
      <x:c r="C45" s="146" t="str">
        <x:v>фикс</x:v>
      </x:c>
      <x:c r="D45" s="175" t="n">
        <x:v>25000</x:v>
      </x:c>
      <x:c r="E45" s="176" t="n">
        <x:v>25000</x:v>
      </x:c>
      <x:c r="F45" s="176" t="n">
        <x:v>0</x:v>
      </x:c>
      <x:c r="G45" s="176" t="n">
        <x:v>0</x:v>
      </x:c>
      <x:c r="H45" s="176" t="n">
        <x:v>0</x:v>
      </x:c>
      <x:c r="I45" s="176" t="n">
        <x:v>0</x:v>
      </x:c>
      <x:c r="J45" s="176" t="n">
        <x:f>SUM(E45:I45)</x:f>
        <x:v>25000</x:v>
      </x:c>
      <x:c r="K45" s="180"/>
      <x:c r="L45" s="188" t="s">
        <x:v>133</x:v>
      </x:c>
    </x:row>
    <x:row r="46">
      <x:c r="A46"/>
      <x:c r="B46" s="89" t="s">
        <x:v>134</x:v>
      </x:c>
      <x:c r="C46" s="146" t="str">
        <x:v>ФОТ</x:v>
      </x:c>
      <x:c r="D46" s="175" t="n">
        <x:v>18000</x:v>
      </x:c>
      <x:c r="E46" s="176" t="n">
        <x:f>IF($D46="","",$D46*INDEX('Допущения'!$C$25:$G$31,MATCH($C46,'Допущения'!$B$25:$B$31,0),1))</x:f>
        <x:v>18000</x:v>
      </x:c>
      <x:c r="F46" s="176" t="n">
        <x:f>IF($D46="","",$D46*INDEX('Допущения'!$C$25:$G$31,MATCH($C46,'Допущения'!$B$25:$B$31,0),2))</x:f>
        <x:v>19440</x:v>
      </x:c>
      <x:c r="G46" s="176" t="n">
        <x:f>IF($D46="","",$D46*INDEX('Допущения'!$C$25:$G$31,MATCH($C46,'Допущения'!$B$25:$B$31,0),3))</x:f>
        <x:v>20995.2</x:v>
      </x:c>
      <x:c r="H46" s="176" t="n">
        <x:f>IF($D46="","",$D46*INDEX('Допущения'!$C$25:$G$31,MATCH($C46,'Допущения'!$B$25:$B$31,0),4))</x:f>
        <x:v>22674.816000000003</x:v>
      </x:c>
      <x:c r="I46" s="176" t="n">
        <x:f>IF($D46="","",$D46*INDEX('Допущения'!$C$25:$G$31,MATCH($C46,'Допущения'!$B$25:$B$31,0),5))</x:f>
        <x:v>24488.801280000007</x:v>
      </x:c>
      <x:c r="J46" s="176" t="n">
        <x:f>SUM(E46:I46)</x:f>
        <x:v>105598.81728000002</x:v>
      </x:c>
      <x:c r="K46" s="180"/>
      <x:c r="L46" s="188" t="s">
        <x:v>135</x:v>
      </x:c>
    </x:row>
    <x:row r="47">
      <x:c r="A47"/>
      <x:c r="B47" s="89"/>
      <x:c r="C47" s="146" t="str">
        <x:v>фикс</x:v>
      </x:c>
      <x:c r="D47" s="175"/>
      <x:c r="E47" s="176" t="str">
        <x:f>IF($D47="","",$D47*INDEX('Допущения'!$C$25:$G$31,MATCH($C47,'Допущения'!$B$25:$B$31,0),1))</x:f>
      </x:c>
      <x:c r="F47" s="176" t="str">
        <x:f>IF($D47="","",$D47*INDEX('Допущения'!$C$25:$G$31,MATCH($C47,'Допущения'!$B$25:$B$31,0),2))</x:f>
      </x:c>
      <x:c r="G47" s="176" t="str">
        <x:f>IF($D47="","",$D47*INDEX('Допущения'!$C$25:$G$31,MATCH($C47,'Допущения'!$B$25:$B$31,0),3))</x:f>
      </x:c>
      <x:c r="H47" s="176" t="str">
        <x:f>IF($D47="","",$D47*INDEX('Допущения'!$C$25:$G$31,MATCH($C47,'Допущения'!$B$25:$B$31,0),4))</x:f>
      </x:c>
      <x:c r="I47" s="176" t="str">
        <x:f>IF($D47="","",$D47*INDEX('Допущения'!$C$25:$G$31,MATCH($C47,'Допущения'!$B$25:$B$31,0),5))</x:f>
      </x:c>
      <x:c r="J47" s="176" t="n">
        <x:f>SUM(E47:I47)</x:f>
        <x:v>0</x:v>
      </x:c>
      <x:c r="K47" s="180"/>
      <x:c r="L47" s="188" t="s">
        <x:v>98</x:v>
      </x:c>
    </x:row>
    <x:row r="48" ht="22" customHeight="1">
      <x:c r="A48"/>
      <x:c r="B48" s="141" t="s">
        <x:v>99</x:v>
      </x:c>
      <x:c r="C48" s="141"/>
      <x:c r="D48" s="178"/>
      <x:c r="E48" s="178" t="n">
        <x:f>SUM(E43:E47)</x:f>
        <x:v>76000</x:v>
      </x:c>
      <x:c r="F48" s="178" t="n">
        <x:f>SUM(F43:F47)</x:f>
        <x:v>35490</x:v>
      </x:c>
      <x:c r="G48" s="178" t="n">
        <x:f>SUM(G43:G47)</x:f>
        <x:v>38168.7</x:v>
      </x:c>
      <x:c r="H48" s="178" t="n">
        <x:f>SUM(H43:H47)</x:f>
        <x:v>41050.461</x:v>
      </x:c>
      <x:c r="I48" s="178" t="n">
        <x:f>SUM(I43:I47)</x:f>
        <x:v>44150.74143000001</x:v>
      </x:c>
      <x:c r="J48" s="178" t="n">
        <x:f>SUM(E48:I48)</x:f>
        <x:v>234859.90243000002</x:v>
      </x:c>
      <x:c r="K48" s="182" t="n">
        <x:f>J48/$J$51</x:f>
        <x:v>0.0031236904795445774</x:v>
      </x:c>
      <x:c r="L48" s="189"/>
    </x:row>
    <x:row r="49">
      <x:c r="A49"/>
      <x:c r="B49" s="89"/>
      <x:c r="C49" s="89"/>
      <x:c r="D49" s="176"/>
      <x:c r="E49" s="176"/>
      <x:c r="F49" s="176"/>
      <x:c r="G49" s="176"/>
      <x:c r="H49" s="176"/>
      <x:c r="I49" s="176"/>
      <x:c r="J49" s="176"/>
      <x:c r="K49" s="180"/>
      <x:c r="L49" s="188"/>
    </x:row>
    <x:row r="50" ht="22" customHeight="1">
      <x:c r="A50"/>
      <x:c r="B50" s="89" t="s">
        <x:v>136</x:v>
      </x:c>
      <x:c r="C50" s="89"/>
      <x:c r="D50" s="176"/>
      <x:c r="E50" s="176" t="n">
        <x:f>(E15+E24+E32+E40+E48)*'Допущения'!$C$17</x:f>
        <x:v>225990</x:v>
      </x:c>
      <x:c r="F50" s="176" t="n">
        <x:f>(F15+F24+F32+F40+F48)*'Допущения'!$C$17</x:f>
        <x:v>631952.4</x:v>
      </x:c>
      <x:c r="G50" s="176" t="n">
        <x:f>(G15+G24+G32+G40+G48)*'Допущения'!$C$17</x:f>
        <x:v>1416563.5679999997</x:v>
      </x:c>
      <x:c r="H50" s="176" t="n">
        <x:f>(H15+H24+H32+H40+H48)*'Допущения'!$C$17</x:f>
        <x:v>2805707.99376</x:v>
      </x:c>
      <x:c r="I50" s="176" t="n">
        <x:f>(I15+I24+I32+I40+I48)*'Допущения'!$C$17</x:f>
        <x:v>4726743.7114031995</x:v>
      </x:c>
      <x:c r="J50" s="176" t="n">
        <x:f>SUM(E50:I50)</x:f>
        <x:v>9806957.673163198</x:v>
      </x:c>
      <x:c r="K50" s="180"/>
      <x:c r="L50" s="188" t="s">
        <x:v>137</x:v>
      </x:c>
    </x:row>
    <x:row r="51" ht="22" customHeight="1">
      <x:c r="A51"/>
      <x:c r="B51" s="141" t="s">
        <x:v>138</x:v>
      </x:c>
      <x:c r="C51" s="141"/>
      <x:c r="D51" s="178"/>
      <x:c r="E51" s="178" t="n">
        <x:f>E15+E24+E32+E40+E48+E50</x:f>
        <x:v>1732590</x:v>
      </x:c>
      <x:c r="F51" s="178" t="n">
        <x:f>F15+F24+F32+F40+F48+F50</x:f>
        <x:v>4844968.4</x:v>
      </x:c>
      <x:c r="G51" s="178" t="n">
        <x:f>G15+G24+G32+G40+G48+G50</x:f>
        <x:v>10860320.688</x:v>
      </x:c>
      <x:c r="H51" s="178" t="n">
        <x:f>H15+H24+H32+H40+H48+H50</x:f>
        <x:v>21510427.95216</x:v>
      </x:c>
      <x:c r="I51" s="178" t="n">
        <x:f>I15+I24+I32+I40+I48+I50</x:f>
        <x:v>36238368.4540912</x:v>
      </x:c>
      <x:c r="J51" s="178" t="n">
        <x:f>SUM(E51:I51)</x:f>
        <x:v>75186675.49425119</x:v>
      </x:c>
      <x:c r="K51" s="182"/>
      <x:c r="L51" s="189"/>
    </x:row>
    <x:row r="52" ht="22" customHeight="1">
      <x:c r="A52"/>
      <x:c r="B52" s="130" t="s">
        <x:v>139</x:v>
      </x:c>
      <x:c r="C52" s="130"/>
      <x:c r="D52" s="214"/>
      <x:c r="E52" s="214"/>
      <x:c r="F52" s="214"/>
      <x:c r="G52" s="214"/>
      <x:c r="H52" s="214"/>
      <x:c r="I52" s="214"/>
      <x:c r="J52" s="214"/>
      <x:c r="K52" s="215"/>
      <x:c r="L52" s="191"/>
    </x:row>
    <x:row r="53" ht="22" customHeight="1">
      <x:c r="A53"/>
      <x:c r="B53" s="89" t="s">
        <x:v>140</x:v>
      </x:c>
      <x:c r="C53" s="89"/>
      <x:c r="D53" s="176"/>
      <x:c r="E53" s="176" t="n">
        <x:f>(1-'Допущения'!$C$20)*525600*'Допущения'!$C$19*'Допущения'!$C$21</x:f>
        <x:v>3153599.999999653</x:v>
      </x:c>
      <x:c r="F53" s="176" t="n">
        <x:f>(1-'Допущения'!$C$20)*525600*'Допущения'!$C$19*'Допущения'!$C$21</x:f>
        <x:v>3153599.999999653</x:v>
      </x:c>
      <x:c r="G53" s="176" t="n">
        <x:f>(1-'Допущения'!$C$20)*525600*'Допущения'!$C$19*'Допущения'!$C$21</x:f>
        <x:v>3153599.999999653</x:v>
      </x:c>
      <x:c r="H53" s="176" t="n">
        <x:f>(1-'Допущения'!$C$20)*525600*'Допущения'!$C$19*'Допущения'!$C$21</x:f>
        <x:v>3153599.999999653</x:v>
      </x:c>
      <x:c r="I53" s="176" t="n">
        <x:f>(1-'Допущения'!$C$20)*525600*'Допущения'!$C$19*'Допущения'!$C$21</x:f>
        <x:v>3153599.999999653</x:v>
      </x:c>
      <x:c r="J53" s="176" t="n">
        <x:f>SUM(E53:I53)</x:f>
        <x:v>15767999.999998266</x:v>
      </x:c>
      <x:c r="K53" s="180"/>
      <x:c r="L53" s="188" t="s">
        <x:v>141</x:v>
      </x:c>
    </x:row>
    <x:row r="54" ht="22" customHeight="1">
      <x:c r="A54"/>
      <x:c r="B54" s="141" t="s">
        <x:v>142</x:v>
      </x:c>
      <x:c r="C54" s="141"/>
      <x:c r="D54" s="178"/>
      <x:c r="E54" s="178" t="n">
        <x:f>E51+E53</x:f>
        <x:v>4886189.999999654</x:v>
      </x:c>
      <x:c r="F54" s="178" t="n">
        <x:f>F51+F53</x:f>
        <x:v>7998568.399999654</x:v>
      </x:c>
      <x:c r="G54" s="178" t="n">
        <x:f>G51+G53</x:f>
        <x:v>14013920.687999653</x:v>
      </x:c>
      <x:c r="H54" s="178" t="n">
        <x:f>H51+H53</x:f>
        <x:v>24664027.952159654</x:v>
      </x:c>
      <x:c r="I54" s="178" t="n">
        <x:f>I51+I53</x:f>
        <x:v>39391968.45409085</x:v>
      </x:c>
      <x:c r="J54" s="178" t="n">
        <x:f>SUM(E54:I54)</x:f>
        <x:v>90954675.49424946</x:v>
      </x:c>
      <x:c r="K54" s="182"/>
      <x:c r="L54" s="189"/>
    </x:row>
    <x:row r="55" ht="22" customHeight="1">
      <x:c r="A55"/>
      <x:c r="B55" s="89" t="s">
        <x:v>143</x:v>
      </x:c>
      <x:c r="C55" s="89"/>
      <x:c r="D55" s="176"/>
      <x:c r="E55" s="216" t="n">
        <x:f>1</x:f>
        <x:v>1</x:v>
      </x:c>
      <x:c r="F55" s="216" t="n">
        <x:f>1/(1+'Допущения'!$C$16)^1</x:f>
        <x:v>0.8333333333333334</x:v>
      </x:c>
      <x:c r="G55" s="216" t="n">
        <x:f>1/(1+'Допущения'!$C$16)^2</x:f>
        <x:v>0.6944444444444444</x:v>
      </x:c>
      <x:c r="H55" s="216" t="n">
        <x:f>1/(1+'Допущения'!$C$16)^3</x:f>
        <x:v>0.5787037037037038</x:v>
      </x:c>
      <x:c r="I55" s="216" t="n">
        <x:f>1/(1+'Допущения'!$C$16)^4</x:f>
        <x:v>0.4822530864197531</x:v>
      </x:c>
      <x:c r="J55" s="176"/>
      <x:c r="K55" s="180"/>
      <x:c r="L55" s="188"/>
    </x:row>
    <x:row r="56" ht="22" customHeight="1">
      <x:c r="A56"/>
      <x:c r="B56" s="141" t="s">
        <x:v>144</x:v>
      </x:c>
      <x:c r="C56" s="141"/>
      <x:c r="D56" s="178"/>
      <x:c r="E56" s="178" t="n">
        <x:f>E54*E55</x:f>
        <x:v>4886189.999999654</x:v>
      </x:c>
      <x:c r="F56" s="178" t="n">
        <x:f>F54*F55</x:f>
        <x:v>6665473.666666378</x:v>
      </x:c>
      <x:c r="G56" s="178" t="n">
        <x:f>G54*G55</x:f>
        <x:v>9731889.366666425</x:v>
      </x:c>
      <x:c r="H56" s="178" t="n">
        <x:f>H54*H55</x:f>
        <x:v>14273164.32416647</x:v>
      </x:c>
      <x:c r="I56" s="178" t="n">
        <x:f>I54*I55</x:f>
        <x:v>18996898.36713486</x:v>
      </x:c>
      <x:c r="J56" s="178" t="n">
        <x:f>SUM(E56:I56)</x:f>
        <x:v>54553615.72463379</x:v>
      </x:c>
      <x:c r="K56" s="182"/>
      <x:c r="L56" s="189"/>
    </x:row>
    <x:row r="57">
      <x:c r="A57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188"/>
    </x:row>
    <x:row r="58" ht="22" customHeight="1">
      <x:c r="A58"/>
      <x:c r="B58" s="130" t="s">
        <x:v>145</x:v>
      </x:c>
      <x:c r="C58" s="130"/>
      <x:c r="D58" s="130"/>
      <x:c r="E58" s="130"/>
      <x:c r="F58" s="130"/>
      <x:c r="G58" s="130"/>
      <x:c r="H58" s="130"/>
      <x:c r="I58" s="130"/>
      <x:c r="J58" s="130"/>
      <x:c r="K58" s="130"/>
      <x:c r="L58" s="191"/>
    </x:row>
    <x:row r="59">
      <x:c r="A59"/>
      <x:c r="B59" s="211" t="s">
        <x:v>146</x:v>
      </x:c>
      <x:c r="C59" s="148"/>
      <x:c r="D59" s="148"/>
      <x:c r="E59" s="217" t="n">
        <x:f>J51</x:f>
        <x:v>75186675.49425119</x:v>
      </x:c>
      <x:c r="F59" s="89"/>
      <x:c r="G59" s="89"/>
      <x:c r="H59" s="89"/>
      <x:c r="I59" s="89"/>
      <x:c r="J59" s="89"/>
      <x:c r="K59" s="89"/>
      <x:c r="L59" s="188" t="s">
        <x:v>147</x:v>
      </x:c>
    </x:row>
    <x:row r="60">
      <x:c r="A60"/>
      <x:c r="B60" s="211" t="s">
        <x:v>148</x:v>
      </x:c>
      <x:c r="C60" s="148"/>
      <x:c r="D60" s="148"/>
      <x:c r="E60" s="217" t="n">
        <x:f>J54</x:f>
        <x:v>90954675.49424946</x:v>
      </x:c>
      <x:c r="F60" s="89"/>
      <x:c r="G60" s="89"/>
      <x:c r="H60" s="89"/>
      <x:c r="I60" s="89"/>
      <x:c r="J60" s="89"/>
      <x:c r="K60" s="89"/>
      <x:c r="L60" s="188" t="s">
        <x:v>149</x:v>
      </x:c>
    </x:row>
    <x:row r="61">
      <x:c r="A61"/>
      <x:c r="B61" s="211" t="s">
        <x:v>150</x:v>
      </x:c>
      <x:c r="C61" s="148"/>
      <x:c r="D61" s="148"/>
      <x:c r="E61" s="217" t="n">
        <x:f>J56</x:f>
        <x:v>54553615.72463379</x:v>
      </x:c>
      <x:c r="F61" s="89"/>
      <x:c r="G61" s="89"/>
      <x:c r="H61" s="89"/>
      <x:c r="I61" s="89"/>
      <x:c r="J61" s="89"/>
      <x:c r="K61" s="89"/>
      <x:c r="L61" s="188" t="s">
        <x:v>151</x:v>
      </x:c>
    </x:row>
    <x:row r="62">
      <x:c r="A62"/>
      <x:c r="B62" s="211" t="s">
        <x:v>152</x:v>
      </x:c>
      <x:c r="C62" s="148"/>
      <x:c r="D62" s="148"/>
      <x:c r="E62" s="217" t="n">
        <x:f>J51/5</x:f>
        <x:v>15037335.098850239</x:v>
      </x:c>
      <x:c r="F62" s="89"/>
      <x:c r="G62" s="89"/>
      <x:c r="H62" s="89"/>
      <x:c r="I62" s="89"/>
      <x:c r="J62" s="89"/>
      <x:c r="K62" s="89"/>
      <x:c r="L62" s="188" t="s">
        <x:v>153</x:v>
      </x:c>
    </x:row>
    <x:row r="63">
      <x:c r="A63"/>
      <x:c r="B63" s="211" t="s">
        <x:v>154</x:v>
      </x:c>
      <x:c r="C63" s="148"/>
      <x:c r="D63" s="148"/>
      <x:c r="E63" s="217" t="n">
        <x:f>E15/12</x:f>
        <x:v>5700</x:v>
      </x:c>
      <x:c r="F63" s="89"/>
      <x:c r="G63" s="89"/>
      <x:c r="H63" s="89"/>
      <x:c r="I63" s="89"/>
      <x:c r="J63" s="89"/>
      <x:c r="K63" s="89"/>
      <x:c r="L63" s="188" t="s">
        <x:v>155</x:v>
      </x:c>
    </x:row>
    <x:row r="64">
      <x:c r="A64"/>
      <x:c r="B64" s="211" t="s">
        <x:v>156</x:v>
      </x:c>
      <x:c r="C64" s="148"/>
      <x:c r="D64" s="148"/>
      <x:c r="E64" s="148" t="str">
        <x:f>IF(E15/12&lt;='Допущения'!$C$18,"В бюджете CFO","ПРЕВЫШЕНИЕ бюджета")</x:f>
        <x:v>ПРЕВЫШЕНИЕ бюджета</x:v>
      </x:c>
      <x:c r="F64" s="89"/>
      <x:c r="G64" s="89"/>
      <x:c r="H64" s="89"/>
      <x:c r="I64" s="89"/>
      <x:c r="J64" s="89"/>
      <x:c r="K64" s="89"/>
      <x:c r="L64" s="188" t="s">
        <x:v>157</x:v>
      </x:c>
    </x:row>
    <x:row r="65">
      <x:c r="A65"/>
      <x:c r="B65" s="211" t="s">
        <x:v>158</x:v>
      </x:c>
      <x:c r="C65" s="148"/>
      <x:c r="D65" s="148"/>
      <x:c r="E65" s="218" t="n">
        <x:f>J51/SUM('Допущения'!$C$8:$G$8)</x:f>
        <x:v>0.9146797505383356</x:v>
      </x:c>
      <x:c r="F65" s="89"/>
      <x:c r="G65" s="89"/>
      <x:c r="H65" s="89"/>
      <x:c r="I65" s="89"/>
      <x:c r="J65" s="89"/>
      <x:c r="K65" s="89"/>
      <x:c r="L65" s="188" t="s">
        <x:v>159</x:v>
      </x:c>
    </x:row>
    <x:row r="66">
      <x:c r="A66"/>
      <x:c r="B66" s="211" t="s">
        <x:v>160</x:v>
      </x:c>
      <x:c r="C66" s="148"/>
      <x:c r="D66" s="148"/>
      <x:c r="E66" s="218" t="n">
        <x:f>I51/'Допущения'!$G$7</x:f>
        <x:v>3.62383684540912</x:v>
      </x:c>
      <x:c r="F66" s="89"/>
      <x:c r="G66" s="89"/>
      <x:c r="H66" s="89"/>
      <x:c r="I66" s="89"/>
      <x:c r="J66" s="89"/>
      <x:c r="K66" s="89"/>
      <x:c r="L66" s="188" t="s">
        <x:v>161</x:v>
      </x:c>
    </x:row>
    <x:row r="67">
      <x:c r="A67"/>
      <x:c r="B67" s="211" t="s">
        <x:v>162</x:v>
      </x:c>
      <x:c r="C67" s="148"/>
      <x:c r="D67" s="148"/>
      <x:c r="E67" s="219" t="n">
        <x:f>J51/SUM('Допущения'!$C$10:$G$10)</x:f>
        <x:v>0.036332596643592924</x:v>
      </x:c>
      <x:c r="F67" s="89"/>
      <x:c r="G67" s="89"/>
      <x:c r="H67" s="89"/>
      <x:c r="I67" s="89"/>
      <x:c r="J67" s="89"/>
      <x:c r="K67" s="89"/>
      <x:c r="L67" s="188" t="s">
        <x:v>163</x:v>
      </x:c>
    </x:row>
    <x:row r="68">
      <x:c r="A68"/>
      <x:c r="B68" s="211" t="s">
        <x:v>164</x:v>
      </x:c>
      <x:c r="C68" s="148"/>
      <x:c r="D68" s="148"/>
      <x:c r="E68" s="219" t="n">
        <x:f>J15/J51</x:f>
        <x:v>0.013574284461480625</x:v>
      </x:c>
      <x:c r="F68" s="89"/>
      <x:c r="G68" s="89"/>
      <x:c r="H68" s="89"/>
      <x:c r="I68" s="89"/>
      <x:c r="J68" s="89"/>
      <x:c r="K68" s="89"/>
      <x:c r="L68" s="188" t="s">
        <x:v>165</x:v>
      </x:c>
    </x:row>
    <x:row r="69">
      <x:c r="A69"/>
      <x:c r="B69" s="211" t="s">
        <x:v>166</x:v>
      </x:c>
      <x:c r="C69" s="148"/>
      <x:c r="D69" s="148"/>
      <x:c r="E69" s="219" t="n">
        <x:f>J32/J51</x:f>
        <x:v>0.8077734465682518</x:v>
      </x:c>
      <x:c r="F69" s="89"/>
      <x:c r="G69" s="89"/>
      <x:c r="H69" s="89"/>
      <x:c r="I69" s="89"/>
      <x:c r="J69" s="89"/>
      <x:c r="K69" s="89"/>
      <x:c r="L69" s="188" t="s">
        <x:v>167</x:v>
      </x:c>
    </x:row>
    <x:row r="70">
      <x:c r="A70"/>
      <x:c r="B70" s="211" t="s">
        <x:v>168</x:v>
      </x:c>
      <x:c r="C70" s="148"/>
      <x:c r="D70" s="148"/>
      <x:c r="E70" s="219" t="n">
        <x:f>J40/J51</x:f>
        <x:v>0.042290707753970605</x:v>
      </x:c>
      <x:c r="F70" s="89"/>
      <x:c r="G70" s="89"/>
      <x:c r="H70" s="89"/>
      <x:c r="I70" s="89"/>
      <x:c r="J70" s="89"/>
      <x:c r="K70" s="89"/>
      <x:c r="L70" s="188" t="s">
        <x:v>169</x:v>
      </x:c>
    </x:row>
    <x:row r="71">
      <x:c r="A71"/>
      <x:c r="B71" s="89"/>
      <x:c r="C71" s="89"/>
      <x:c r="D71" s="89"/>
      <x:c r="E71" s="89"/>
      <x:c r="F71" s="89"/>
      <x:c r="G71" s="89"/>
      <x:c r="H71" s="89"/>
      <x:c r="I71" s="89"/>
      <x:c r="J71" s="89"/>
      <x:c r="K71" s="89"/>
      <x:c r="L71" s="188"/>
    </x:row>
    <x:row r="72" ht="22" customHeight="1">
      <x:c r="A72"/>
      <x:c r="B72" s="130" t="s">
        <x:v>170</x:v>
      </x:c>
      <x:c r="C72" s="130"/>
      <x:c r="D72" s="130"/>
      <x:c r="E72" s="130"/>
      <x:c r="F72" s="130"/>
      <x:c r="G72" s="130"/>
      <x:c r="H72" s="130"/>
      <x:c r="I72" s="130"/>
      <x:c r="J72" s="130"/>
      <x:c r="K72" s="130"/>
      <x:c r="L72" s="191"/>
    </x:row>
    <x:row r="73">
      <x:c r="A73"/>
      <x:c r="B73" s="212" t="str">
        <x:v>Вывод для ADR</x:v>
      </x:c>
      <x:c r="C73" s="146"/>
      <x:c r="D73" s="146"/>
      <x:c r="E73" s="146"/>
      <x:c r="F73" s="146"/>
      <x:c r="G73" s="146"/>
      <x:c r="H73" s="146"/>
      <x:c r="I73" s="146"/>
      <x:c r="J73" s="146"/>
      <x:c r="K73" s="146"/>
      <x:c r="L73" s="220"/>
    </x:row>
    <x:row r="74" ht="34" customHeight="1">
      <x:c r="A74"/>
      <x:c r="B74" s="166" t="str">
        <x:v>Крупные сервисы дают независимое масштабирование, но превышают стартовый бюджет инфраструктуры и требуют больше сопровождения. Вариант подходит после стабилизации MVP.</x:v>
      </x:c>
      <x:c r="C74" s="166"/>
      <x:c r="D74" s="166"/>
      <x:c r="E74" s="166"/>
      <x:c r="F74" s="166"/>
      <x:c r="G74" s="166"/>
      <x:c r="H74" s="166"/>
      <x:c r="I74" s="166"/>
      <x:c r="J74" s="166"/>
      <x:c r="K74" s="166"/>
      <x:c r="L74" s="221"/>
    </x:row>
    <x:row r="75" ht="34" customHeight="1">
      <x:c r="A75"/>
      <x:c r="B75" s="166"/>
      <x:c r="C75" s="166"/>
      <x:c r="D75" s="166"/>
      <x:c r="E75" s="166"/>
      <x:c r="F75" s="166"/>
      <x:c r="G75" s="166"/>
      <x:c r="H75" s="166"/>
      <x:c r="I75" s="166"/>
      <x:c r="J75" s="166"/>
      <x:c r="K75" s="166"/>
      <x:c r="L75" s="221"/>
    </x:row>
  </x:sheetData>
  <x:dataValidations count="1">
    <x:dataValidation type="list" sqref="C7:C47">
      <x:formula1>"фикс,инфляция,ФОТ,пользователи,заказы,GMV,нагрузка"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42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46" hidden="0" customWidth="1"/>
  </x:cols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</x:row>
    <x:row r="2">
      <x:c r="A2"/>
      <x:c r="B2" s="121" t="str">
        <x:v>TCO на 5 лет - микросервисы и Kubernetes</x:v>
      </x:c>
      <x:c r="C2" s="121"/>
      <x:c r="D2" s="121"/>
      <x:c r="E2" s="121"/>
      <x:c r="F2" s="121"/>
      <x:c r="G2" s="121"/>
      <x:c r="H2" s="121"/>
      <x:c r="I2" s="121"/>
      <x:c r="J2" s="121"/>
      <x:c r="K2" s="121"/>
      <x:c r="L2" s="121"/>
    </x:row>
    <x:row r="3">
      <x:c r="A3"/>
      <x:c r="B3" s="122" t="s">
        <x:v>77</x:v>
      </x:c>
      <x:c r="C3" s="122"/>
      <x:c r="D3" s="122"/>
      <x:c r="E3" s="122"/>
      <x:c r="F3" s="122"/>
      <x:c r="G3" s="122"/>
      <x:c r="H3" s="122"/>
      <x:c r="I3" s="122"/>
      <x:c r="J3" s="122"/>
      <x:c r="K3" s="122"/>
      <x:c r="L3" s="122"/>
    </x:row>
    <x:row r="4">
      <x:c r="A4"/>
      <x:c r="B4" s="89"/>
      <x:c r="C4" s="89"/>
      <x:c r="D4" s="89"/>
      <x:c r="E4" s="89"/>
      <x:c r="F4" s="89"/>
      <x:c r="G4" s="89"/>
      <x:c r="H4" s="89"/>
      <x:c r="I4" s="89"/>
      <x:c r="J4" s="89"/>
      <x:c r="K4" s="89"/>
      <x:c r="L4" s="89"/>
    </x:row>
    <x:row r="5" ht="22" customHeight="1">
      <x:c r="A5"/>
      <x:c r="B5" s="209" t="s">
        <x:v>78</x:v>
      </x:c>
      <x:c r="C5" s="209" t="s">
        <x:v>79</x:v>
      </x:c>
      <x:c r="D5" s="209" t="s">
        <x:v>80</x:v>
      </x:c>
      <x:c r="E5" s="209" t="s">
        <x:v>40</x:v>
      </x:c>
      <x:c r="F5" s="209" t="s">
        <x:v>41</x:v>
      </x:c>
      <x:c r="G5" s="209" t="s">
        <x:v>42</x:v>
      </x:c>
      <x:c r="H5" s="209" t="s">
        <x:v>43</x:v>
      </x:c>
      <x:c r="I5" s="209" t="s">
        <x:v>44</x:v>
      </x:c>
      <x:c r="J5" s="209" t="s">
        <x:v>81</x:v>
      </x:c>
      <x:c r="K5" s="209" t="s">
        <x:v>82</x:v>
      </x:c>
      <x:c r="L5" s="209" t="s">
        <x:v>45</x:v>
      </x:c>
    </x:row>
    <x:row r="6" ht="22" customHeight="1">
      <x:c r="A6"/>
      <x:c r="B6" s="130" t="s">
        <x:v>83</x:v>
      </x:c>
      <x:c r="C6" s="130"/>
      <x:c r="D6" s="130"/>
      <x:c r="E6" s="130"/>
      <x:c r="F6" s="130"/>
      <x:c r="G6" s="130"/>
      <x:c r="H6" s="130"/>
      <x:c r="I6" s="130"/>
      <x:c r="J6" s="130"/>
      <x:c r="K6" s="130"/>
      <x:c r="L6" s="191"/>
    </x:row>
    <x:row r="7">
      <x:c r="A7"/>
      <x:c r="B7" s="89" t="s">
        <x:v>84</x:v>
      </x:c>
      <x:c r="C7" s="146" t="str">
        <x:v>нагрузка</x:v>
      </x:c>
      <x:c r="D7" s="175" t="n">
        <x:v>28800</x:v>
      </x:c>
      <x:c r="E7" s="176" t="n">
        <x:f>IF($D7="","",$D7*INDEX('Допущения'!$C$25:$G$31,MATCH($C7,'Допущения'!$B$25:$B$31,0),1))</x:f>
        <x:v>28800</x:v>
      </x:c>
      <x:c r="F7" s="176" t="n">
        <x:f>IF($D7="","",$D7*INDEX('Допущения'!$C$25:$G$31,MATCH($C7,'Допущения'!$B$25:$B$31,0),2))</x:f>
        <x:v>48960</x:v>
      </x:c>
      <x:c r="G7" s="176" t="n">
        <x:f>IF($D7="","",$D7*INDEX('Допущения'!$C$25:$G$31,MATCH($C7,'Допущения'!$B$25:$B$31,0),3))</x:f>
        <x:v>80640</x:v>
      </x:c>
      <x:c r="H7" s="176" t="n">
        <x:f>IF($D7="","",$D7*INDEX('Допущения'!$C$25:$G$31,MATCH($C7,'Допущения'!$B$25:$B$31,0),4))</x:f>
        <x:v>129600</x:v>
      </x:c>
      <x:c r="I7" s="176" t="n">
        <x:f>IF($D7="","",$D7*INDEX('Допущения'!$C$25:$G$31,MATCH($C7,'Допущения'!$B$25:$B$31,0),5))</x:f>
        <x:v>172800</x:v>
      </x:c>
      <x:c r="J7" s="176" t="n">
        <x:f>SUM(E7:I7)</x:f>
        <x:v>460800</x:v>
      </x:c>
      <x:c r="K7" s="180"/>
      <x:c r="L7" s="188" t="s">
        <x:v>85</x:v>
      </x:c>
    </x:row>
    <x:row r="8">
      <x:c r="A8"/>
      <x:c r="B8" s="89" t="s">
        <x:v>86</x:v>
      </x:c>
      <x:c r="C8" s="146" t="str">
        <x:v>нагрузка</x:v>
      </x:c>
      <x:c r="D8" s="175" t="n">
        <x:v>30000</x:v>
      </x:c>
      <x:c r="E8" s="176" t="n">
        <x:f>IF($D8="","",$D8*INDEX('Допущения'!$C$25:$G$31,MATCH($C8,'Допущения'!$B$25:$B$31,0),1))</x:f>
        <x:v>30000</x:v>
      </x:c>
      <x:c r="F8" s="176" t="n">
        <x:f>IF($D8="","",$D8*INDEX('Допущения'!$C$25:$G$31,MATCH($C8,'Допущения'!$B$25:$B$31,0),2))</x:f>
        <x:v>51000</x:v>
      </x:c>
      <x:c r="G8" s="176" t="n">
        <x:f>IF($D8="","",$D8*INDEX('Допущения'!$C$25:$G$31,MATCH($C8,'Допущения'!$B$25:$B$31,0),3))</x:f>
        <x:v>84000</x:v>
      </x:c>
      <x:c r="H8" s="176" t="n">
        <x:f>IF($D8="","",$D8*INDEX('Допущения'!$C$25:$G$31,MATCH($C8,'Допущения'!$B$25:$B$31,0),4))</x:f>
        <x:v>135000</x:v>
      </x:c>
      <x:c r="I8" s="176" t="n">
        <x:f>IF($D8="","",$D8*INDEX('Допущения'!$C$25:$G$31,MATCH($C8,'Допущения'!$B$25:$B$31,0),5))</x:f>
        <x:v>180000</x:v>
      </x:c>
      <x:c r="J8" s="176" t="n">
        <x:f>SUM(E8:I8)</x:f>
        <x:v>480000</x:v>
      </x:c>
      <x:c r="K8" s="180"/>
      <x:c r="L8" s="188" t="s">
        <x:v>87</x:v>
      </x:c>
    </x:row>
    <x:row r="9">
      <x:c r="A9"/>
      <x:c r="B9" s="89" t="s">
        <x:v>88</x:v>
      </x:c>
      <x:c r="C9" s="146" t="str">
        <x:v>нагрузка</x:v>
      </x:c>
      <x:c r="D9" s="175" t="n">
        <x:v>7200</x:v>
      </x:c>
      <x:c r="E9" s="176" t="n">
        <x:f>IF($D9="","",$D9*INDEX('Допущения'!$C$25:$G$31,MATCH($C9,'Допущения'!$B$25:$B$31,0),1))</x:f>
        <x:v>7200</x:v>
      </x:c>
      <x:c r="F9" s="176" t="n">
        <x:f>IF($D9="","",$D9*INDEX('Допущения'!$C$25:$G$31,MATCH($C9,'Допущения'!$B$25:$B$31,0),2))</x:f>
        <x:v>12240</x:v>
      </x:c>
      <x:c r="G9" s="176" t="n">
        <x:f>IF($D9="","",$D9*INDEX('Допущения'!$C$25:$G$31,MATCH($C9,'Допущения'!$B$25:$B$31,0),3))</x:f>
        <x:v>20160</x:v>
      </x:c>
      <x:c r="H9" s="176" t="n">
        <x:f>IF($D9="","",$D9*INDEX('Допущения'!$C$25:$G$31,MATCH($C9,'Допущения'!$B$25:$B$31,0),4))</x:f>
        <x:v>32400</x:v>
      </x:c>
      <x:c r="I9" s="176" t="n">
        <x:f>IF($D9="","",$D9*INDEX('Допущения'!$C$25:$G$31,MATCH($C9,'Допущения'!$B$25:$B$31,0),5))</x:f>
        <x:v>43200</x:v>
      </x:c>
      <x:c r="J9" s="176" t="n">
        <x:f>SUM(E9:I9)</x:f>
        <x:v>115200</x:v>
      </x:c>
      <x:c r="K9" s="180"/>
      <x:c r="L9" s="188" t="s">
        <x:v>89</x:v>
      </x:c>
    </x:row>
    <x:row r="10">
      <x:c r="A10"/>
      <x:c r="B10" s="89" t="s">
        <x:v>90</x:v>
      </x:c>
      <x:c r="C10" s="146" t="str">
        <x:v>нагрузка</x:v>
      </x:c>
      <x:c r="D10" s="175" t="n">
        <x:v>12000</x:v>
      </x:c>
      <x:c r="E10" s="176" t="n">
        <x:f>IF($D10="","",$D10*INDEX('Допущения'!$C$25:$G$31,MATCH($C10,'Допущения'!$B$25:$B$31,0),1))</x:f>
        <x:v>12000</x:v>
      </x:c>
      <x:c r="F10" s="176" t="n">
        <x:f>IF($D10="","",$D10*INDEX('Допущения'!$C$25:$G$31,MATCH($C10,'Допущения'!$B$25:$B$31,0),2))</x:f>
        <x:v>20400</x:v>
      </x:c>
      <x:c r="G10" s="176" t="n">
        <x:f>IF($D10="","",$D10*INDEX('Допущения'!$C$25:$G$31,MATCH($C10,'Допущения'!$B$25:$B$31,0),3))</x:f>
        <x:v>33600</x:v>
      </x:c>
      <x:c r="H10" s="176" t="n">
        <x:f>IF($D10="","",$D10*INDEX('Допущения'!$C$25:$G$31,MATCH($C10,'Допущения'!$B$25:$B$31,0),4))</x:f>
        <x:v>54000</x:v>
      </x:c>
      <x:c r="I10" s="176" t="n">
        <x:f>IF($D10="","",$D10*INDEX('Допущения'!$C$25:$G$31,MATCH($C10,'Допущения'!$B$25:$B$31,0),5))</x:f>
        <x:v>72000</x:v>
      </x:c>
      <x:c r="J10" s="176" t="n">
        <x:f>SUM(E10:I10)</x:f>
        <x:v>192000</x:v>
      </x:c>
      <x:c r="K10" s="180"/>
      <x:c r="L10" s="188" t="s">
        <x:v>91</x:v>
      </x:c>
    </x:row>
    <x:row r="11">
      <x:c r="A11"/>
      <x:c r="B11" s="89" t="s">
        <x:v>92</x:v>
      </x:c>
      <x:c r="C11" s="146" t="str">
        <x:v>нагрузка</x:v>
      </x:c>
      <x:c r="D11" s="175" t="n">
        <x:v>18000</x:v>
      </x:c>
      <x:c r="E11" s="176" t="n">
        <x:f>IF($D11="","",$D11*INDEX('Допущения'!$C$25:$G$31,MATCH($C11,'Допущения'!$B$25:$B$31,0),1))</x:f>
        <x:v>18000</x:v>
      </x:c>
      <x:c r="F11" s="176" t="n">
        <x:f>IF($D11="","",$D11*INDEX('Допущения'!$C$25:$G$31,MATCH($C11,'Допущения'!$B$25:$B$31,0),2))</x:f>
        <x:v>30600</x:v>
      </x:c>
      <x:c r="G11" s="176" t="n">
        <x:f>IF($D11="","",$D11*INDEX('Допущения'!$C$25:$G$31,MATCH($C11,'Допущения'!$B$25:$B$31,0),3))</x:f>
        <x:v>50400</x:v>
      </x:c>
      <x:c r="H11" s="176" t="n">
        <x:f>IF($D11="","",$D11*INDEX('Допущения'!$C$25:$G$31,MATCH($C11,'Допущения'!$B$25:$B$31,0),4))</x:f>
        <x:v>81000</x:v>
      </x:c>
      <x:c r="I11" s="176" t="n">
        <x:f>IF($D11="","",$D11*INDEX('Допущения'!$C$25:$G$31,MATCH($C11,'Допущения'!$B$25:$B$31,0),5))</x:f>
        <x:v>108000</x:v>
      </x:c>
      <x:c r="J11" s="176" t="n">
        <x:f>SUM(E11:I11)</x:f>
        <x:v>288000</x:v>
      </x:c>
      <x:c r="K11" s="180"/>
      <x:c r="L11" s="188" t="s">
        <x:v>93</x:v>
      </x:c>
    </x:row>
    <x:row r="12">
      <x:c r="A12"/>
      <x:c r="B12" s="89" t="s">
        <x:v>94</x:v>
      </x:c>
      <x:c r="C12" s="146" t="str">
        <x:v>нагрузка</x:v>
      </x:c>
      <x:c r="D12" s="175" t="n">
        <x:v>18000</x:v>
      </x:c>
      <x:c r="E12" s="176" t="n">
        <x:f>IF($D12="","",$D12*INDEX('Допущения'!$C$25:$G$31,MATCH($C12,'Допущения'!$B$25:$B$31,0),1))</x:f>
        <x:v>18000</x:v>
      </x:c>
      <x:c r="F12" s="176" t="n">
        <x:f>IF($D12="","",$D12*INDEX('Допущения'!$C$25:$G$31,MATCH($C12,'Допущения'!$B$25:$B$31,0),2))</x:f>
        <x:v>30600</x:v>
      </x:c>
      <x:c r="G12" s="176" t="n">
        <x:f>IF($D12="","",$D12*INDEX('Допущения'!$C$25:$G$31,MATCH($C12,'Допущения'!$B$25:$B$31,0),3))</x:f>
        <x:v>50400</x:v>
      </x:c>
      <x:c r="H12" s="176" t="n">
        <x:f>IF($D12="","",$D12*INDEX('Допущения'!$C$25:$G$31,MATCH($C12,'Допущения'!$B$25:$B$31,0),4))</x:f>
        <x:v>81000</x:v>
      </x:c>
      <x:c r="I12" s="176" t="n">
        <x:f>IF($D12="","",$D12*INDEX('Допущения'!$C$25:$G$31,MATCH($C12,'Допущения'!$B$25:$B$31,0),5))</x:f>
        <x:v>108000</x:v>
      </x:c>
      <x:c r="J12" s="176" t="n">
        <x:f>SUM(E12:I12)</x:f>
        <x:v>288000</x:v>
      </x:c>
      <x:c r="K12" s="180"/>
      <x:c r="L12" s="188" t="s">
        <x:v>95</x:v>
      </x:c>
    </x:row>
    <x:row r="13">
      <x:c r="A13"/>
      <x:c r="B13" s="89" t="s">
        <x:v>96</x:v>
      </x:c>
      <x:c r="C13" s="146" t="str">
        <x:v>инфляция</x:v>
      </x:c>
      <x:c r="D13" s="175" t="n">
        <x:v>7200</x:v>
      </x:c>
      <x:c r="E13" s="176" t="n">
        <x:f>IF($D13="","",$D13*INDEX('Допущения'!$C$25:$G$31,MATCH($C13,'Допущения'!$B$25:$B$31,0),1))</x:f>
        <x:v>7200</x:v>
      </x:c>
      <x:c r="F13" s="176" t="n">
        <x:f>IF($D13="","",$D13*INDEX('Допущения'!$C$25:$G$31,MATCH($C13,'Допущения'!$B$25:$B$31,0),2))</x:f>
        <x:v>7704</x:v>
      </x:c>
      <x:c r="G13" s="176" t="n">
        <x:f>IF($D13="","",$D13*INDEX('Допущения'!$C$25:$G$31,MATCH($C13,'Допущения'!$B$25:$B$31,0),3))</x:f>
        <x:v>8243.28</x:v>
      </x:c>
      <x:c r="H13" s="176" t="n">
        <x:f>IF($D13="","",$D13*INDEX('Допущения'!$C$25:$G$31,MATCH($C13,'Допущения'!$B$25:$B$31,0),4))</x:f>
        <x:v>8820.3096</x:v>
      </x:c>
      <x:c r="I13" s="176" t="n">
        <x:f>IF($D13="","",$D13*INDEX('Допущения'!$C$25:$G$31,MATCH($C13,'Допущения'!$B$25:$B$31,0),5))</x:f>
        <x:v>9437.731272</x:v>
      </x:c>
      <x:c r="J13" s="176" t="n">
        <x:f>SUM(E13:I13)</x:f>
        <x:v>41405.320872</x:v>
      </x:c>
      <x:c r="K13" s="180"/>
      <x:c r="L13" s="188" t="s">
        <x:v>97</x:v>
      </x:c>
    </x:row>
    <x:row r="14">
      <x:c r="A14"/>
      <x:c r="B14" s="89"/>
      <x:c r="C14" s="146" t="str">
        <x:v>фикс</x:v>
      </x:c>
      <x:c r="D14" s="175"/>
      <x:c r="E14" s="176" t="str">
        <x:f>IF($D14="","",$D14*INDEX('Допущения'!$C$25:$G$31,MATCH($C14,'Допущения'!$B$25:$B$31,0),1))</x:f>
      </x:c>
      <x:c r="F14" s="176" t="str">
        <x:f>IF($D14="","",$D14*INDEX('Допущения'!$C$25:$G$31,MATCH($C14,'Допущения'!$B$25:$B$31,0),2))</x:f>
      </x:c>
      <x:c r="G14" s="176" t="str">
        <x:f>IF($D14="","",$D14*INDEX('Допущения'!$C$25:$G$31,MATCH($C14,'Допущения'!$B$25:$B$31,0),3))</x:f>
      </x:c>
      <x:c r="H14" s="176" t="str">
        <x:f>IF($D14="","",$D14*INDEX('Допущения'!$C$25:$G$31,MATCH($C14,'Допущения'!$B$25:$B$31,0),4))</x:f>
      </x:c>
      <x:c r="I14" s="176" t="str">
        <x:f>IF($D14="","",$D14*INDEX('Допущения'!$C$25:$G$31,MATCH($C14,'Допущения'!$B$25:$B$31,0),5))</x:f>
      </x:c>
      <x:c r="J14" s="176" t="n">
        <x:f>SUM(E14:I14)</x:f>
        <x:v>0</x:v>
      </x:c>
      <x:c r="K14" s="180"/>
      <x:c r="L14" s="188" t="s">
        <x:v>98</x:v>
      </x:c>
    </x:row>
    <x:row r="15" ht="22" customHeight="1">
      <x:c r="A15"/>
      <x:c r="B15" s="141" t="s">
        <x:v>99</x:v>
      </x:c>
      <x:c r="C15" s="210"/>
      <x:c r="D15" s="213"/>
      <x:c r="E15" s="178" t="n">
        <x:f>SUM(E7:E14)</x:f>
        <x:v>121200</x:v>
      </x:c>
      <x:c r="F15" s="178" t="n">
        <x:f>SUM(F7:F14)</x:f>
        <x:v>201504</x:v>
      </x:c>
      <x:c r="G15" s="178" t="n">
        <x:f>SUM(G7:G14)</x:f>
        <x:v>327443.28</x:v>
      </x:c>
      <x:c r="H15" s="178" t="n">
        <x:f>SUM(H7:H14)</x:f>
        <x:v>521820.3096</x:v>
      </x:c>
      <x:c r="I15" s="178" t="n">
        <x:f>SUM(I7:I14)</x:f>
        <x:v>693437.731272</x:v>
      </x:c>
      <x:c r="J15" s="178" t="n">
        <x:f>SUM(E15:I15)</x:f>
        <x:v>1865405.320872</x:v>
      </x:c>
      <x:c r="K15" s="182" t="n">
        <x:f>J15/$J$51</x:f>
        <x:v>0.023773317084831793</x:v>
      </x:c>
      <x:c r="L15" s="189"/>
    </x:row>
    <x:row r="16">
      <x:c r="A16"/>
      <x:c r="B16" s="89"/>
      <x:c r="C16" s="146"/>
      <x:c r="D16" s="175"/>
      <x:c r="E16" s="176"/>
      <x:c r="F16" s="176"/>
      <x:c r="G16" s="176"/>
      <x:c r="H16" s="176"/>
      <x:c r="I16" s="176"/>
      <x:c r="J16" s="176"/>
      <x:c r="K16" s="180"/>
      <x:c r="L16" s="188"/>
    </x:row>
    <x:row r="17" ht="22" customHeight="1">
      <x:c r="A17"/>
      <x:c r="B17" s="130" t="s">
        <x:v>100</x:v>
      </x:c>
      <x:c r="C17" s="210"/>
      <x:c r="D17" s="213"/>
      <x:c r="E17" s="214"/>
      <x:c r="F17" s="214"/>
      <x:c r="G17" s="214"/>
      <x:c r="H17" s="214"/>
      <x:c r="I17" s="214"/>
      <x:c r="J17" s="214"/>
      <x:c r="K17" s="215"/>
      <x:c r="L17" s="191"/>
    </x:row>
    <x:row r="18">
      <x:c r="A18"/>
      <x:c r="B18" s="89" t="s">
        <x:v>101</x:v>
      </x:c>
      <x:c r="C18" s="146" t="str">
        <x:v>нагрузка</x:v>
      </x:c>
      <x:c r="D18" s="175" t="n">
        <x:v>12000</x:v>
      </x:c>
      <x:c r="E18" s="176" t="n">
        <x:f>IF($D18="","",$D18*INDEX('Допущения'!$C$25:$G$31,MATCH($C18,'Допущения'!$B$25:$B$31,0),1))</x:f>
        <x:v>12000</x:v>
      </x:c>
      <x:c r="F18" s="176" t="n">
        <x:f>IF($D18="","",$D18*INDEX('Допущения'!$C$25:$G$31,MATCH($C18,'Допущения'!$B$25:$B$31,0),2))</x:f>
        <x:v>20400</x:v>
      </x:c>
      <x:c r="G18" s="176" t="n">
        <x:f>IF($D18="","",$D18*INDEX('Допущения'!$C$25:$G$31,MATCH($C18,'Допущения'!$B$25:$B$31,0),3))</x:f>
        <x:v>33600</x:v>
      </x:c>
      <x:c r="H18" s="176" t="n">
        <x:f>IF($D18="","",$D18*INDEX('Допущения'!$C$25:$G$31,MATCH($C18,'Допущения'!$B$25:$B$31,0),4))</x:f>
        <x:v>54000</x:v>
      </x:c>
      <x:c r="I18" s="176" t="n">
        <x:f>IF($D18="","",$D18*INDEX('Допущения'!$C$25:$G$31,MATCH($C18,'Допущения'!$B$25:$B$31,0),5))</x:f>
        <x:v>72000</x:v>
      </x:c>
      <x:c r="J18" s="176" t="n">
        <x:f>SUM(E18:I18)</x:f>
        <x:v>192000</x:v>
      </x:c>
      <x:c r="K18" s="180"/>
      <x:c r="L18" s="188" t="s">
        <x:v>102</x:v>
      </x:c>
    </x:row>
    <x:row r="19">
      <x:c r="A19"/>
      <x:c r="B19" s="89" t="s">
        <x:v>103</x:v>
      </x:c>
      <x:c r="C19" s="146" t="str">
        <x:v>инфляция</x:v>
      </x:c>
      <x:c r="D19" s="175" t="n">
        <x:v>6000</x:v>
      </x:c>
      <x:c r="E19" s="176" t="n">
        <x:f>IF($D19="","",$D19*INDEX('Допущения'!$C$25:$G$31,MATCH($C19,'Допущения'!$B$25:$B$31,0),1))</x:f>
        <x:v>6000</x:v>
      </x:c>
      <x:c r="F19" s="176" t="n">
        <x:f>IF($D19="","",$D19*INDEX('Допущения'!$C$25:$G$31,MATCH($C19,'Допущения'!$B$25:$B$31,0),2))</x:f>
        <x:v>6420</x:v>
      </x:c>
      <x:c r="G19" s="176" t="n">
        <x:f>IF($D19="","",$D19*INDEX('Допущения'!$C$25:$G$31,MATCH($C19,'Допущения'!$B$25:$B$31,0),3))</x:f>
        <x:v>6869.400000000001</x:v>
      </x:c>
      <x:c r="H19" s="176" t="n">
        <x:f>IF($D19="","",$D19*INDEX('Допущения'!$C$25:$G$31,MATCH($C19,'Допущения'!$B$25:$B$31,0),4))</x:f>
        <x:v>7350.258000000001</x:v>
      </x:c>
      <x:c r="I19" s="176" t="n">
        <x:f>IF($D19="","",$D19*INDEX('Допущения'!$C$25:$G$31,MATCH($C19,'Допущения'!$B$25:$B$31,0),5))</x:f>
        <x:v>7864.776060000001</x:v>
      </x:c>
      <x:c r="J19" s="176" t="n">
        <x:f>SUM(E19:I19)</x:f>
        <x:v>34504.43406000001</x:v>
      </x:c>
      <x:c r="K19" s="180"/>
      <x:c r="L19" s="188" t="s">
        <x:v>104</x:v>
      </x:c>
    </x:row>
    <x:row r="20">
      <x:c r="A20"/>
      <x:c r="B20" s="89" t="s">
        <x:v>105</x:v>
      </x:c>
      <x:c r="C20" s="146" t="str">
        <x:v>нагрузка</x:v>
      </x:c>
      <x:c r="D20" s="175" t="n">
        <x:v>7200</x:v>
      </x:c>
      <x:c r="E20" s="176" t="n">
        <x:f>IF($D20="","",$D20*INDEX('Допущения'!$C$25:$G$31,MATCH($C20,'Допущения'!$B$25:$B$31,0),1))</x:f>
        <x:v>7200</x:v>
      </x:c>
      <x:c r="F20" s="176" t="n">
        <x:f>IF($D20="","",$D20*INDEX('Допущения'!$C$25:$G$31,MATCH($C20,'Допущения'!$B$25:$B$31,0),2))</x:f>
        <x:v>12240</x:v>
      </x:c>
      <x:c r="G20" s="176" t="n">
        <x:f>IF($D20="","",$D20*INDEX('Допущения'!$C$25:$G$31,MATCH($C20,'Допущения'!$B$25:$B$31,0),3))</x:f>
        <x:v>20160</x:v>
      </x:c>
      <x:c r="H20" s="176" t="n">
        <x:f>IF($D20="","",$D20*INDEX('Допущения'!$C$25:$G$31,MATCH($C20,'Допущения'!$B$25:$B$31,0),4))</x:f>
        <x:v>32400</x:v>
      </x:c>
      <x:c r="I20" s="176" t="n">
        <x:f>IF($D20="","",$D20*INDEX('Допущения'!$C$25:$G$31,MATCH($C20,'Допущения'!$B$25:$B$31,0),5))</x:f>
        <x:v>43200</x:v>
      </x:c>
      <x:c r="J20" s="176" t="n">
        <x:f>SUM(E20:I20)</x:f>
        <x:v>115200</x:v>
      </x:c>
      <x:c r="K20" s="180"/>
      <x:c r="L20" s="188" t="s">
        <x:v>106</x:v>
      </x:c>
    </x:row>
    <x:row r="21">
      <x:c r="A21"/>
      <x:c r="B21" s="89" t="s">
        <x:v>107</x:v>
      </x:c>
      <x:c r="C21" s="146" t="str">
        <x:v>инфляция</x:v>
      </x:c>
      <x:c r="D21" s="175" t="n">
        <x:v>1200</x:v>
      </x:c>
      <x:c r="E21" s="176" t="n">
        <x:f>IF($D21="","",$D21*INDEX('Допущения'!$C$25:$G$31,MATCH($C21,'Допущения'!$B$25:$B$31,0),1))</x:f>
        <x:v>1200</x:v>
      </x:c>
      <x:c r="F21" s="176" t="n">
        <x:f>IF($D21="","",$D21*INDEX('Допущения'!$C$25:$G$31,MATCH($C21,'Допущения'!$B$25:$B$31,0),2))</x:f>
        <x:v>1284</x:v>
      </x:c>
      <x:c r="G21" s="176" t="n">
        <x:f>IF($D21="","",$D21*INDEX('Допущения'!$C$25:$G$31,MATCH($C21,'Допущения'!$B$25:$B$31,0),3))</x:f>
        <x:v>1373.88</x:v>
      </x:c>
      <x:c r="H21" s="176" t="n">
        <x:f>IF($D21="","",$D21*INDEX('Допущения'!$C$25:$G$31,MATCH($C21,'Допущения'!$B$25:$B$31,0),4))</x:f>
        <x:v>1470.0516000000002</x:v>
      </x:c>
      <x:c r="I21" s="176" t="n">
        <x:f>IF($D21="","",$D21*INDEX('Допущения'!$C$25:$G$31,MATCH($C21,'Допущения'!$B$25:$B$31,0),5))</x:f>
        <x:v>1572.9552120000003</x:v>
      </x:c>
      <x:c r="J21" s="176" t="n">
        <x:f>SUM(E21:I21)</x:f>
        <x:v>6900.886812000001</x:v>
      </x:c>
      <x:c r="K21" s="180"/>
      <x:c r="L21" s="188" t="s">
        <x:v>108</x:v>
      </x:c>
    </x:row>
    <x:row r="22">
      <x:c r="A22"/>
      <x:c r="B22" s="89" t="s">
        <x:v>109</x:v>
      </x:c>
      <x:c r="C22" s="146" t="str">
        <x:v>инфляция</x:v>
      </x:c>
      <x:c r="D22" s="175" t="n">
        <x:v>2400</x:v>
      </x:c>
      <x:c r="E22" s="176" t="n">
        <x:f>IF($D22="","",$D22*INDEX('Допущения'!$C$25:$G$31,MATCH($C22,'Допущения'!$B$25:$B$31,0),1))</x:f>
        <x:v>2400</x:v>
      </x:c>
      <x:c r="F22" s="176" t="n">
        <x:f>IF($D22="","",$D22*INDEX('Допущения'!$C$25:$G$31,MATCH($C22,'Допущения'!$B$25:$B$31,0),2))</x:f>
        <x:v>2568</x:v>
      </x:c>
      <x:c r="G22" s="176" t="n">
        <x:f>IF($D22="","",$D22*INDEX('Допущения'!$C$25:$G$31,MATCH($C22,'Допущения'!$B$25:$B$31,0),3))</x:f>
        <x:v>2747.76</x:v>
      </x:c>
      <x:c r="H22" s="176" t="n">
        <x:f>IF($D22="","",$D22*INDEX('Допущения'!$C$25:$G$31,MATCH($C22,'Допущения'!$B$25:$B$31,0),4))</x:f>
        <x:v>2940.1032000000005</x:v>
      </x:c>
      <x:c r="I22" s="176" t="n">
        <x:f>IF($D22="","",$D22*INDEX('Допущения'!$C$25:$G$31,MATCH($C22,'Допущения'!$B$25:$B$31,0),5))</x:f>
        <x:v>3145.9104240000006</x:v>
      </x:c>
      <x:c r="J22" s="176" t="n">
        <x:f>SUM(E22:I22)</x:f>
        <x:v>13801.773624000001</x:v>
      </x:c>
      <x:c r="K22" s="180"/>
      <x:c r="L22" s="188" t="str">
        <x:v>Трекер работ, дизайн, аналитика</x:v>
      </x:c>
    </x:row>
    <x:row r="23">
      <x:c r="A23"/>
      <x:c r="B23" s="89"/>
      <x:c r="C23" s="146" t="str">
        <x:v>фикс</x:v>
      </x:c>
      <x:c r="D23" s="175"/>
      <x:c r="E23" s="176" t="str">
        <x:f>IF($D23="","",$D23*INDEX('Допущения'!$C$25:$G$31,MATCH($C23,'Допущения'!$B$25:$B$31,0),1))</x:f>
      </x:c>
      <x:c r="F23" s="176" t="str">
        <x:f>IF($D23="","",$D23*INDEX('Допущения'!$C$25:$G$31,MATCH($C23,'Допущения'!$B$25:$B$31,0),2))</x:f>
      </x:c>
      <x:c r="G23" s="176" t="str">
        <x:f>IF($D23="","",$D23*INDEX('Допущения'!$C$25:$G$31,MATCH($C23,'Допущения'!$B$25:$B$31,0),3))</x:f>
      </x:c>
      <x:c r="H23" s="176" t="str">
        <x:f>IF($D23="","",$D23*INDEX('Допущения'!$C$25:$G$31,MATCH($C23,'Допущения'!$B$25:$B$31,0),4))</x:f>
      </x:c>
      <x:c r="I23" s="176" t="str">
        <x:f>IF($D23="","",$D23*INDEX('Допущения'!$C$25:$G$31,MATCH($C23,'Допущения'!$B$25:$B$31,0),5))</x:f>
      </x:c>
      <x:c r="J23" s="176" t="n">
        <x:f>SUM(E23:I23)</x:f>
        <x:v>0</x:v>
      </x:c>
      <x:c r="K23" s="180"/>
      <x:c r="L23" s="188" t="s">
        <x:v>98</x:v>
      </x:c>
    </x:row>
    <x:row r="24" ht="22" customHeight="1">
      <x:c r="A24"/>
      <x:c r="B24" s="141" t="s">
        <x:v>99</x:v>
      </x:c>
      <x:c r="C24" s="210"/>
      <x:c r="D24" s="213"/>
      <x:c r="E24" s="178" t="n">
        <x:f>SUM(E18:E23)</x:f>
        <x:v>28800</x:v>
      </x:c>
      <x:c r="F24" s="178" t="n">
        <x:f>SUM(F18:F23)</x:f>
        <x:v>42912</x:v>
      </x:c>
      <x:c r="G24" s="178" t="n">
        <x:f>SUM(G18:G23)</x:f>
        <x:v>64751.04</x:v>
      </x:c>
      <x:c r="H24" s="178" t="n">
        <x:f>SUM(H18:H23)</x:f>
        <x:v>98160.4128</x:v>
      </x:c>
      <x:c r="I24" s="178" t="n">
        <x:f>SUM(I18:I23)</x:f>
        <x:v>127783.641696</x:v>
      </x:c>
      <x:c r="J24" s="178" t="n">
        <x:f>SUM(E24:I24)</x:f>
        <x:v>362407.09449600003</x:v>
      </x:c>
      <x:c r="K24" s="182" t="n">
        <x:f>J24/$J$51</x:f>
        <x:v>0.004618630961778624</x:v>
      </x:c>
      <x:c r="L24" s="189"/>
    </x:row>
    <x:row r="25">
      <x:c r="A25"/>
      <x:c r="B25" s="89"/>
      <x:c r="C25" s="146"/>
      <x:c r="D25" s="175"/>
      <x:c r="E25" s="176"/>
      <x:c r="F25" s="176"/>
      <x:c r="G25" s="176"/>
      <x:c r="H25" s="176"/>
      <x:c r="I25" s="176"/>
      <x:c r="J25" s="176"/>
      <x:c r="K25" s="180"/>
      <x:c r="L25" s="188"/>
    </x:row>
    <x:row r="26" ht="22" customHeight="1">
      <x:c r="A26"/>
      <x:c r="B26" s="130" t="s">
        <x:v>110</x:v>
      </x:c>
      <x:c r="C26" s="210"/>
      <x:c r="D26" s="213"/>
      <x:c r="E26" s="214"/>
      <x:c r="F26" s="214"/>
      <x:c r="G26" s="214"/>
      <x:c r="H26" s="214"/>
      <x:c r="I26" s="214"/>
      <x:c r="J26" s="214"/>
      <x:c r="K26" s="215"/>
      <x:c r="L26" s="191"/>
    </x:row>
    <x:row r="27">
      <x:c r="A27"/>
      <x:c r="B27" s="89" t="s">
        <x:v>111</x:v>
      </x:c>
      <x:c r="C27" s="146" t="str">
        <x:v>GMV</x:v>
      </x:c>
      <x:c r="D27" s="175" t="n">
        <x:v>580800</x:v>
      </x:c>
      <x:c r="E27" s="176" t="n">
        <x:f>IF($D27="","",$D27*INDEX('Допущения'!$C$25:$G$31,MATCH($C27,'Допущения'!$B$25:$B$31,0),1))</x:f>
        <x:v>580800</x:v>
      </x:c>
      <x:c r="F27" s="176" t="n">
        <x:f>IF($D27="","",$D27*INDEX('Допущения'!$C$25:$G$31,MATCH($C27,'Допущения'!$B$25:$B$31,0),2))</x:f>
        <x:v>2530000</x:v>
      </x:c>
      <x:c r="G27" s="176" t="n">
        <x:f>IF($D27="","",$D27*INDEX('Допущения'!$C$25:$G$31,MATCH($C27,'Допущения'!$B$25:$B$31,0),3))</x:f>
        <x:v>6335999.999999999</x:v>
      </x:c>
      <x:c r="H27" s="176" t="n">
        <x:f>IF($D27="","",$D27*INDEX('Допущения'!$C$25:$G$31,MATCH($C27,'Допущения'!$B$25:$B$31,0),4))</x:f>
        <x:v>13200000</x:v>
      </x:c>
      <x:c r="I27" s="176" t="n">
        <x:f>IF($D27="","",$D27*INDEX('Допущения'!$C$25:$G$31,MATCH($C27,'Допущения'!$B$25:$B$31,0),5))</x:f>
        <x:v>22880000</x:v>
      </x:c>
      <x:c r="J27" s="176" t="n">
        <x:f>SUM(E27:I27)</x:f>
        <x:v>45526800</x:v>
      </x:c>
      <x:c r="K27" s="180"/>
      <x:c r="L27" s="188" t="str">
        <x:v>≈2,2% от GMV: M-Pesa (Кения), Flutterwave / Paystack (Нигерия)</x:v>
      </x:c>
    </x:row>
    <x:row r="28">
      <x:c r="A28"/>
      <x:c r="B28" s="89" t="s">
        <x:v>112</x:v>
      </x:c>
      <x:c r="C28" s="146" t="str">
        <x:v>заказы</x:v>
      </x:c>
      <x:c r="D28" s="175" t="n">
        <x:v>30000</x:v>
      </x:c>
      <x:c r="E28" s="176" t="n">
        <x:f>IF($D28="","",$D28*INDEX('Допущения'!$C$25:$G$31,MATCH($C28,'Допущения'!$B$25:$B$31,0),1))</x:f>
        <x:v>30000</x:v>
      </x:c>
      <x:c r="F28" s="176" t="n">
        <x:f>IF($D28="","",$D28*INDEX('Допущения'!$C$25:$G$31,MATCH($C28,'Допущения'!$B$25:$B$31,0),2))</x:f>
        <x:v>125000.00000000001</x:v>
      </x:c>
      <x:c r="G28" s="176" t="n">
        <x:f>IF($D28="","",$D28*INDEX('Допущения'!$C$25:$G$31,MATCH($C28,'Допущения'!$B$25:$B$31,0),3))</x:f>
        <x:v>300000</x:v>
      </x:c>
      <x:c r="H28" s="176" t="n">
        <x:f>IF($D28="","",$D28*INDEX('Допущения'!$C$25:$G$31,MATCH($C28,'Допущения'!$B$25:$B$31,0),4))</x:f>
        <x:v>600000</x:v>
      </x:c>
      <x:c r="I28" s="176" t="n">
        <x:f>IF($D28="","",$D28*INDEX('Допущения'!$C$25:$G$31,MATCH($C28,'Допущения'!$B$25:$B$31,0),5))</x:f>
        <x:v>1000000.0000000001</x:v>
      </x:c>
      <x:c r="J28" s="176" t="n">
        <x:f>SUM(E28:I28)</x:f>
        <x:v>2055000</x:v>
      </x:c>
      <x:c r="K28" s="180"/>
      <x:c r="L28" s="188" t="s">
        <x:v>113</x:v>
      </x:c>
    </x:row>
    <x:row r="29">
      <x:c r="A29"/>
      <x:c r="B29" s="89" t="s">
        <x:v>114</x:v>
      </x:c>
      <x:c r="C29" s="146" t="str">
        <x:v>заказы</x:v>
      </x:c>
      <x:c r="D29" s="175" t="n">
        <x:v>12000</x:v>
      </x:c>
      <x:c r="E29" s="176" t="n">
        <x:f>IF($D29="","",$D29*INDEX('Допущения'!$C$25:$G$31,MATCH($C29,'Допущения'!$B$25:$B$31,0),1))</x:f>
        <x:v>12000</x:v>
      </x:c>
      <x:c r="F29" s="176" t="n">
        <x:f>IF($D29="","",$D29*INDEX('Допущения'!$C$25:$G$31,MATCH($C29,'Допущения'!$B$25:$B$31,0),2))</x:f>
        <x:v>50000</x:v>
      </x:c>
      <x:c r="G29" s="176" t="n">
        <x:f>IF($D29="","",$D29*INDEX('Допущения'!$C$25:$G$31,MATCH($C29,'Допущения'!$B$25:$B$31,0),3))</x:f>
        <x:v>120000</x:v>
      </x:c>
      <x:c r="H29" s="176" t="n">
        <x:f>IF($D29="","",$D29*INDEX('Допущения'!$C$25:$G$31,MATCH($C29,'Допущения'!$B$25:$B$31,0),4))</x:f>
        <x:v>240000</x:v>
      </x:c>
      <x:c r="I29" s="176" t="n">
        <x:f>IF($D29="","",$D29*INDEX('Допущения'!$C$25:$G$31,MATCH($C29,'Допущения'!$B$25:$B$31,0),5))</x:f>
        <x:v>400000</x:v>
      </x:c>
      <x:c r="J29" s="176" t="n">
        <x:f>SUM(E29:I29)</x:f>
        <x:v>822000</x:v>
      </x:c>
      <x:c r="K29" s="180"/>
      <x:c r="L29" s="188" t="s">
        <x:v>115</x:v>
      </x:c>
    </x:row>
    <x:row r="30">
      <x:c r="A30"/>
      <x:c r="B30" s="89" t="s">
        <x:v>116</x:v>
      </x:c>
      <x:c r="C30" s="146" t="str">
        <x:v>заказы</x:v>
      </x:c>
      <x:c r="D30" s="175" t="n">
        <x:v>180000</x:v>
      </x:c>
      <x:c r="E30" s="176" t="n">
        <x:f>IF($D30="","",$D30*INDEX('Допущения'!$C$25:$G$31,MATCH($C30,'Допущения'!$B$25:$B$31,0),1))</x:f>
        <x:v>180000</x:v>
      </x:c>
      <x:c r="F30" s="176" t="n">
        <x:f>IF($D30="","",$D30*INDEX('Допущения'!$C$25:$G$31,MATCH($C30,'Допущения'!$B$25:$B$31,0),2))</x:f>
        <x:v>750000</x:v>
      </x:c>
      <x:c r="G30" s="176" t="n">
        <x:f>IF($D30="","",$D30*INDEX('Допущения'!$C$25:$G$31,MATCH($C30,'Допущения'!$B$25:$B$31,0),3))</x:f>
        <x:v>1800000</x:v>
      </x:c>
      <x:c r="H30" s="176" t="n">
        <x:f>IF($D30="","",$D30*INDEX('Допущения'!$C$25:$G$31,MATCH($C30,'Допущения'!$B$25:$B$31,0),4))</x:f>
        <x:v>3600000</x:v>
      </x:c>
      <x:c r="I30" s="176" t="n">
        <x:f>IF($D30="","",$D30*INDEX('Допущения'!$C$25:$G$31,MATCH($C30,'Допущения'!$B$25:$B$31,0),5))</x:f>
        <x:v>6000000</x:v>
      </x:c>
      <x:c r="J30" s="176" t="n">
        <x:f>SUM(E30:I30)</x:f>
        <x:v>12330000</x:v>
      </x:c>
      <x:c r="K30" s="180"/>
      <x:c r="L30" s="188" t="s">
        <x:v>117</x:v>
      </x:c>
    </x:row>
    <x:row r="31">
      <x:c r="A31"/>
      <x:c r="B31" s="89"/>
      <x:c r="C31" s="146" t="str">
        <x:v>фикс</x:v>
      </x:c>
      <x:c r="D31" s="175"/>
      <x:c r="E31" s="176" t="str">
        <x:f>IF($D31="","",$D31*INDEX('Допущения'!$C$25:$G$31,MATCH($C31,'Допущения'!$B$25:$B$31,0),1))</x:f>
      </x:c>
      <x:c r="F31" s="176" t="str">
        <x:f>IF($D31="","",$D31*INDEX('Допущения'!$C$25:$G$31,MATCH($C31,'Допущения'!$B$25:$B$31,0),2))</x:f>
      </x:c>
      <x:c r="G31" s="176" t="str">
        <x:f>IF($D31="","",$D31*INDEX('Допущения'!$C$25:$G$31,MATCH($C31,'Допущения'!$B$25:$B$31,0),3))</x:f>
      </x:c>
      <x:c r="H31" s="176" t="str">
        <x:f>IF($D31="","",$D31*INDEX('Допущения'!$C$25:$G$31,MATCH($C31,'Допущения'!$B$25:$B$31,0),4))</x:f>
      </x:c>
      <x:c r="I31" s="176" t="str">
        <x:f>IF($D31="","",$D31*INDEX('Допущения'!$C$25:$G$31,MATCH($C31,'Допущения'!$B$25:$B$31,0),5))</x:f>
      </x:c>
      <x:c r="J31" s="176" t="n">
        <x:f>SUM(E31:I31)</x:f>
        <x:v>0</x:v>
      </x:c>
      <x:c r="K31" s="180"/>
      <x:c r="L31" s="188" t="s">
        <x:v>98</x:v>
      </x:c>
    </x:row>
    <x:row r="32" ht="22" customHeight="1">
      <x:c r="A32"/>
      <x:c r="B32" s="141" t="s">
        <x:v>99</x:v>
      </x:c>
      <x:c r="C32" s="210"/>
      <x:c r="D32" s="213"/>
      <x:c r="E32" s="178" t="n">
        <x:f>SUM(E27:E31)</x:f>
        <x:v>802800</x:v>
      </x:c>
      <x:c r="F32" s="178" t="n">
        <x:f>SUM(F27:F31)</x:f>
        <x:v>3455000</x:v>
      </x:c>
      <x:c r="G32" s="178" t="n">
        <x:f>SUM(G27:G31)</x:f>
        <x:v>8556000</x:v>
      </x:c>
      <x:c r="H32" s="178" t="n">
        <x:f>SUM(H27:H31)</x:f>
        <x:v>17640000</x:v>
      </x:c>
      <x:c r="I32" s="178" t="n">
        <x:f>SUM(I27:I31)</x:f>
        <x:v>30280000</x:v>
      </x:c>
      <x:c r="J32" s="178" t="n">
        <x:f>SUM(E32:I32)</x:f>
        <x:v>60733800</x:v>
      </x:c>
      <x:c r="K32" s="182" t="n">
        <x:f>J32/$J$51</x:f>
        <x:v>0.7740108109543827</x:v>
      </x:c>
      <x:c r="L32" s="189"/>
    </x:row>
    <x:row r="33">
      <x:c r="A33"/>
      <x:c r="B33" s="89"/>
      <x:c r="C33" s="146"/>
      <x:c r="D33" s="175"/>
      <x:c r="E33" s="176"/>
      <x:c r="F33" s="176"/>
      <x:c r="G33" s="176"/>
      <x:c r="H33" s="176"/>
      <x:c r="I33" s="176"/>
      <x:c r="J33" s="176"/>
      <x:c r="K33" s="180"/>
      <x:c r="L33" s="188"/>
    </x:row>
    <x:row r="34" ht="22" customHeight="1">
      <x:c r="A34"/>
      <x:c r="B34" s="130" t="s">
        <x:v>118</x:v>
      </x:c>
      <x:c r="C34" s="210"/>
      <x:c r="D34" s="213"/>
      <x:c r="E34" s="214"/>
      <x:c r="F34" s="214"/>
      <x:c r="G34" s="214"/>
      <x:c r="H34" s="214"/>
      <x:c r="I34" s="214"/>
      <x:c r="J34" s="214"/>
      <x:c r="K34" s="215"/>
      <x:c r="L34" s="191"/>
    </x:row>
    <x:row r="35">
      <x:c r="A35"/>
      <x:c r="B35" s="89" t="s">
        <x:v>119</x:v>
      </x:c>
      <x:c r="C35" s="146" t="str">
        <x:v>ФОТ</x:v>
      </x:c>
      <x:c r="D35" s="175" t="n">
        <x:v>480000</x:v>
      </x:c>
      <x:c r="E35" s="176" t="n">
        <x:f>IF($D35="","",$D35*INDEX('Допущения'!$C$25:$G$31,MATCH($C35,'Допущения'!$B$25:$B$31,0),1))</x:f>
        <x:v>480000</x:v>
      </x:c>
      <x:c r="F35" s="176" t="n">
        <x:f>IF($D35="","",$D35*INDEX('Допущения'!$C$25:$G$31,MATCH($C35,'Допущения'!$B$25:$B$31,0),2))</x:f>
        <x:v>518400.00000000006</x:v>
      </x:c>
      <x:c r="G35" s="176" t="n">
        <x:f>IF($D35="","",$D35*INDEX('Допущения'!$C$25:$G$31,MATCH($C35,'Допущения'!$B$25:$B$31,0),3))</x:f>
        <x:v>559872</x:v>
      </x:c>
      <x:c r="H35" s="176" t="n">
        <x:f>IF($D35="","",$D35*INDEX('Допущения'!$C$25:$G$31,MATCH($C35,'Допущения'!$B$25:$B$31,0),4))</x:f>
        <x:v>604661.7600000001</x:v>
      </x:c>
      <x:c r="I35" s="176" t="n">
        <x:f>IF($D35="","",$D35*INDEX('Допущения'!$C$25:$G$31,MATCH($C35,'Допущения'!$B$25:$B$31,0),5))</x:f>
        <x:v>653034.7008000001</x:v>
      </x:c>
      <x:c r="J35" s="176" t="n">
        <x:f>SUM(E35:I35)</x:f>
        <x:v>2815968.4608000005</x:v>
      </x:c>
      <x:c r="K35" s="180"/>
      <x:c r="L35" s="188" t="s">
        <x:v>120</x:v>
      </x:c>
    </x:row>
    <x:row r="36">
      <x:c r="A36"/>
      <x:c r="B36" s="89" t="s">
        <x:v>121</x:v>
      </x:c>
      <x:c r="C36" s="146" t="str">
        <x:v>ФОТ</x:v>
      </x:c>
      <x:c r="D36" s="175" t="n">
        <x:v>140000</x:v>
      </x:c>
      <x:c r="E36" s="176" t="n">
        <x:f>IF($D36="","",$D36*INDEX('Допущения'!$C$25:$G$31,MATCH($C36,'Допущения'!$B$25:$B$31,0),1))</x:f>
        <x:v>140000</x:v>
      </x:c>
      <x:c r="F36" s="176" t="n">
        <x:f>IF($D36="","",$D36*INDEX('Допущения'!$C$25:$G$31,MATCH($C36,'Допущения'!$B$25:$B$31,0),2))</x:f>
        <x:v>151200</x:v>
      </x:c>
      <x:c r="G36" s="176" t="n">
        <x:f>IF($D36="","",$D36*INDEX('Допущения'!$C$25:$G$31,MATCH($C36,'Допущения'!$B$25:$B$31,0),3))</x:f>
        <x:v>163296</x:v>
      </x:c>
      <x:c r="H36" s="176" t="n">
        <x:f>IF($D36="","",$D36*INDEX('Допущения'!$C$25:$G$31,MATCH($C36,'Допущения'!$B$25:$B$31,0),4))</x:f>
        <x:v>176359.68000000002</x:v>
      </x:c>
      <x:c r="I36" s="176" t="n">
        <x:f>IF($D36="","",$D36*INDEX('Допущения'!$C$25:$G$31,MATCH($C36,'Допущения'!$B$25:$B$31,0),5))</x:f>
        <x:v>190468.45440000005</x:v>
      </x:c>
      <x:c r="J36" s="176" t="n">
        <x:f>SUM(E36:I36)</x:f>
        <x:v>821324.1344000001</x:v>
      </x:c>
      <x:c r="K36" s="180"/>
      <x:c r="L36" s="188" t="s">
        <x:v>122</x:v>
      </x:c>
    </x:row>
    <x:row r="37">
      <x:c r="A37"/>
      <x:c r="B37" s="89" t="s">
        <x:v>123</x:v>
      </x:c>
      <x:c r="C37" s="146" t="str">
        <x:v>ФОТ</x:v>
      </x:c>
      <x:c r="D37" s="175" t="n">
        <x:v>96000</x:v>
      </x:c>
      <x:c r="E37" s="176" t="n">
        <x:f>IF($D37="","",$D37*INDEX('Допущения'!$C$25:$G$31,MATCH($C37,'Допущения'!$B$25:$B$31,0),1))</x:f>
        <x:v>96000</x:v>
      </x:c>
      <x:c r="F37" s="176" t="n">
        <x:f>IF($D37="","",$D37*INDEX('Допущения'!$C$25:$G$31,MATCH($C37,'Допущения'!$B$25:$B$31,0),2))</x:f>
        <x:v>103680</x:v>
      </x:c>
      <x:c r="G37" s="176" t="n">
        <x:f>IF($D37="","",$D37*INDEX('Допущения'!$C$25:$G$31,MATCH($C37,'Допущения'!$B$25:$B$31,0),3))</x:f>
        <x:v>111974.40000000001</x:v>
      </x:c>
      <x:c r="H37" s="176" t="n">
        <x:f>IF($D37="","",$D37*INDEX('Допущения'!$C$25:$G$31,MATCH($C37,'Допущения'!$B$25:$B$31,0),4))</x:f>
        <x:v>120932.35200000001</x:v>
      </x:c>
      <x:c r="I37" s="176" t="n">
        <x:f>IF($D37="","",$D37*INDEX('Допущения'!$C$25:$G$31,MATCH($C37,'Допущения'!$B$25:$B$31,0),5))</x:f>
        <x:v>130606.94016000003</x:v>
      </x:c>
      <x:c r="J37" s="176" t="n">
        <x:f>SUM(E37:I37)</x:f>
        <x:v>563193.6921600001</x:v>
      </x:c>
      <x:c r="K37" s="180"/>
      <x:c r="L37" s="188" t="s">
        <x:v>124</x:v>
      </x:c>
    </x:row>
    <x:row r="38">
      <x:c r="A38"/>
      <x:c r="B38" s="89" t="s">
        <x:v>125</x:v>
      </x:c>
      <x:c r="C38" s="146" t="str">
        <x:v>ФОТ</x:v>
      </x:c>
      <x:c r="D38" s="175" t="n">
        <x:v>120000</x:v>
      </x:c>
      <x:c r="E38" s="176" t="n">
        <x:f>IF($D38="","",$D38*INDEX('Допущения'!$C$25:$G$31,MATCH($C38,'Допущения'!$B$25:$B$31,0),1))</x:f>
        <x:v>120000</x:v>
      </x:c>
      <x:c r="F38" s="176" t="n">
        <x:f>IF($D38="","",$D38*INDEX('Допущения'!$C$25:$G$31,MATCH($C38,'Допущения'!$B$25:$B$31,0),2))</x:f>
        <x:v>129600.00000000001</x:v>
      </x:c>
      <x:c r="G38" s="176" t="n">
        <x:f>IF($D38="","",$D38*INDEX('Допущения'!$C$25:$G$31,MATCH($C38,'Допущения'!$B$25:$B$31,0),3))</x:f>
        <x:v>139968</x:v>
      </x:c>
      <x:c r="H38" s="176" t="n">
        <x:f>IF($D38="","",$D38*INDEX('Допущения'!$C$25:$G$31,MATCH($C38,'Допущения'!$B$25:$B$31,0),4))</x:f>
        <x:v>151165.44000000003</x:v>
      </x:c>
      <x:c r="I38" s="176" t="n">
        <x:f>IF($D38="","",$D38*INDEX('Допущения'!$C$25:$G$31,MATCH($C38,'Допущения'!$B$25:$B$31,0),5))</x:f>
        <x:v>163258.67520000003</x:v>
      </x:c>
      <x:c r="J38" s="176" t="n">
        <x:f>SUM(E38:I38)</x:f>
        <x:v>703992.1152000001</x:v>
      </x:c>
      <x:c r="K38" s="180"/>
      <x:c r="L38" s="188" t="s">
        <x:v>126</x:v>
      </x:c>
    </x:row>
    <x:row r="39">
      <x:c r="A39"/>
      <x:c r="B39" s="89"/>
      <x:c r="C39" s="146" t="str">
        <x:v>фикс</x:v>
      </x:c>
      <x:c r="D39" s="175"/>
      <x:c r="E39" s="176" t="str">
        <x:f>IF($D39="","",$D39*INDEX('Допущения'!$C$25:$G$31,MATCH($C39,'Допущения'!$B$25:$B$31,0),1))</x:f>
      </x:c>
      <x:c r="F39" s="176" t="str">
        <x:f>IF($D39="","",$D39*INDEX('Допущения'!$C$25:$G$31,MATCH($C39,'Допущения'!$B$25:$B$31,0),2))</x:f>
      </x:c>
      <x:c r="G39" s="176" t="str">
        <x:f>IF($D39="","",$D39*INDEX('Допущения'!$C$25:$G$31,MATCH($C39,'Допущения'!$B$25:$B$31,0),3))</x:f>
      </x:c>
      <x:c r="H39" s="176" t="str">
        <x:f>IF($D39="","",$D39*INDEX('Допущения'!$C$25:$G$31,MATCH($C39,'Допущения'!$B$25:$B$31,0),4))</x:f>
      </x:c>
      <x:c r="I39" s="176" t="str">
        <x:f>IF($D39="","",$D39*INDEX('Допущения'!$C$25:$G$31,MATCH($C39,'Допущения'!$B$25:$B$31,0),5))</x:f>
      </x:c>
      <x:c r="J39" s="176" t="n">
        <x:f>SUM(E39:I39)</x:f>
        <x:v>0</x:v>
      </x:c>
      <x:c r="K39" s="180"/>
      <x:c r="L39" s="188" t="s">
        <x:v>98</x:v>
      </x:c>
    </x:row>
    <x:row r="40" ht="22" customHeight="1">
      <x:c r="A40"/>
      <x:c r="B40" s="141" t="s">
        <x:v>99</x:v>
      </x:c>
      <x:c r="C40" s="210"/>
      <x:c r="D40" s="213"/>
      <x:c r="E40" s="178" t="n">
        <x:f>SUM(E35:E39)</x:f>
        <x:v>836000</x:v>
      </x:c>
      <x:c r="F40" s="178" t="n">
        <x:f>SUM(F35:F39)</x:f>
        <x:v>902880</x:v>
      </x:c>
      <x:c r="G40" s="178" t="n">
        <x:f>SUM(G35:G39)</x:f>
        <x:v>975110.4</x:v>
      </x:c>
      <x:c r="H40" s="178" t="n">
        <x:f>SUM(H35:H39)</x:f>
        <x:v>1053119.232</x:v>
      </x:c>
      <x:c r="I40" s="178" t="n">
        <x:f>SUM(I35:I39)</x:f>
        <x:v>1137368.77056</x:v>
      </x:c>
      <x:c r="J40" s="178" t="n">
        <x:f>SUM(E40:I40)</x:f>
        <x:v>4904478.40256</x:v>
      </x:c>
      <x:c r="K40" s="182" t="n">
        <x:f>J40/$J$51</x:f>
        <x:v>0.0625042283814568</x:v>
      </x:c>
      <x:c r="L40" s="189"/>
    </x:row>
    <x:row r="41">
      <x:c r="A41"/>
      <x:c r="B41" s="89"/>
      <x:c r="C41" s="146"/>
      <x:c r="D41" s="175"/>
      <x:c r="E41" s="176"/>
      <x:c r="F41" s="176"/>
      <x:c r="G41" s="176"/>
      <x:c r="H41" s="176"/>
      <x:c r="I41" s="176"/>
      <x:c r="J41" s="176"/>
      <x:c r="K41" s="180"/>
      <x:c r="L41" s="188"/>
    </x:row>
    <x:row r="42" ht="22" customHeight="1">
      <x:c r="A42"/>
      <x:c r="B42" s="130" t="s">
        <x:v>127</x:v>
      </x:c>
      <x:c r="C42" s="210"/>
      <x:c r="D42" s="213"/>
      <x:c r="E42" s="214"/>
      <x:c r="F42" s="214"/>
      <x:c r="G42" s="214"/>
      <x:c r="H42" s="214"/>
      <x:c r="I42" s="214"/>
      <x:c r="J42" s="214"/>
      <x:c r="K42" s="215"/>
      <x:c r="L42" s="191"/>
    </x:row>
    <x:row r="43">
      <x:c r="A43"/>
      <x:c r="B43" s="89" t="s">
        <x:v>128</x:v>
      </x:c>
      <x:c r="C43" s="146" t="str">
        <x:v>фикс</x:v>
      </x:c>
      <x:c r="D43" s="175" t="n">
        <x:v>18000</x:v>
      </x:c>
      <x:c r="E43" s="176" t="n">
        <x:v>18000</x:v>
      </x:c>
      <x:c r="F43" s="176" t="n">
        <x:v>0</x:v>
      </x:c>
      <x:c r="G43" s="176" t="n">
        <x:v>0</x:v>
      </x:c>
      <x:c r="H43" s="176" t="n">
        <x:v>0</x:v>
      </x:c>
      <x:c r="I43" s="176" t="n">
        <x:v>0</x:v>
      </x:c>
      <x:c r="J43" s="176" t="n">
        <x:f>SUM(E43:I43)</x:f>
        <x:v>18000</x:v>
      </x:c>
      <x:c r="K43" s="180"/>
      <x:c r="L43" s="188" t="s">
        <x:v>129</x:v>
      </x:c>
    </x:row>
    <x:row r="44">
      <x:c r="A44"/>
      <x:c r="B44" s="89" t="s">
        <x:v>130</x:v>
      </x:c>
      <x:c r="C44" s="146" t="str">
        <x:v>инфляция</x:v>
      </x:c>
      <x:c r="D44" s="175" t="n">
        <x:v>22000</x:v>
      </x:c>
      <x:c r="E44" s="176" t="n">
        <x:f>IF($D44="","",$D44*INDEX('Допущения'!$C$25:$G$31,MATCH($C44,'Допущения'!$B$25:$B$31,0),1))</x:f>
        <x:v>22000</x:v>
      </x:c>
      <x:c r="F44" s="176" t="n">
        <x:f>IF($D44="","",$D44*INDEX('Допущения'!$C$25:$G$31,MATCH($C44,'Допущения'!$B$25:$B$31,0),2))</x:f>
        <x:v>23540</x:v>
      </x:c>
      <x:c r="G44" s="176" t="n">
        <x:f>IF($D44="","",$D44*INDEX('Допущения'!$C$25:$G$31,MATCH($C44,'Допущения'!$B$25:$B$31,0),3))</x:f>
        <x:v>25187.8</x:v>
      </x:c>
      <x:c r="H44" s="176" t="n">
        <x:f>IF($D44="","",$D44*INDEX('Допущения'!$C$25:$G$31,MATCH($C44,'Допущения'!$B$25:$B$31,0),4))</x:f>
        <x:v>26950.946000000004</x:v>
      </x:c>
      <x:c r="I44" s="176" t="n">
        <x:f>IF($D44="","",$D44*INDEX('Допущения'!$C$25:$G$31,MATCH($C44,'Допущения'!$B$25:$B$31,0),5))</x:f>
        <x:v>28837.512220000004</x:v>
      </x:c>
      <x:c r="J44" s="176" t="n">
        <x:f>SUM(E44:I44)</x:f>
        <x:v>126516.25822000002</x:v>
      </x:c>
      <x:c r="K44" s="180"/>
      <x:c r="L44" s="188" t="s">
        <x:v>131</x:v>
      </x:c>
    </x:row>
    <x:row r="45">
      <x:c r="A45"/>
      <x:c r="B45" s="89" t="s">
        <x:v>132</x:v>
      </x:c>
      <x:c r="C45" s="146" t="str">
        <x:v>фикс</x:v>
      </x:c>
      <x:c r="D45" s="175" t="n">
        <x:v>45000</x:v>
      </x:c>
      <x:c r="E45" s="176" t="n">
        <x:v>45000</x:v>
      </x:c>
      <x:c r="F45" s="176" t="n">
        <x:v>0</x:v>
      </x:c>
      <x:c r="G45" s="176" t="n">
        <x:v>0</x:v>
      </x:c>
      <x:c r="H45" s="176" t="n">
        <x:v>0</x:v>
      </x:c>
      <x:c r="I45" s="176" t="n">
        <x:v>0</x:v>
      </x:c>
      <x:c r="J45" s="176" t="n">
        <x:f>SUM(E45:I45)</x:f>
        <x:v>45000</x:v>
      </x:c>
      <x:c r="K45" s="180"/>
      <x:c r="L45" s="188" t="s">
        <x:v>133</x:v>
      </x:c>
    </x:row>
    <x:row r="46">
      <x:c r="A46"/>
      <x:c r="B46" s="89" t="s">
        <x:v>134</x:v>
      </x:c>
      <x:c r="C46" s="146" t="str">
        <x:v>ФОТ</x:v>
      </x:c>
      <x:c r="D46" s="175" t="n">
        <x:v>30000</x:v>
      </x:c>
      <x:c r="E46" s="176" t="n">
        <x:f>IF($D46="","",$D46*INDEX('Допущения'!$C$25:$G$31,MATCH($C46,'Допущения'!$B$25:$B$31,0),1))</x:f>
        <x:v>30000</x:v>
      </x:c>
      <x:c r="F46" s="176" t="n">
        <x:f>IF($D46="","",$D46*INDEX('Допущения'!$C$25:$G$31,MATCH($C46,'Допущения'!$B$25:$B$31,0),2))</x:f>
        <x:v>32400.000000000004</x:v>
      </x:c>
      <x:c r="G46" s="176" t="n">
        <x:f>IF($D46="","",$D46*INDEX('Допущения'!$C$25:$G$31,MATCH($C46,'Допущения'!$B$25:$B$31,0),3))</x:f>
        <x:v>34992</x:v>
      </x:c>
      <x:c r="H46" s="176" t="n">
        <x:f>IF($D46="","",$D46*INDEX('Допущения'!$C$25:$G$31,MATCH($C46,'Допущения'!$B$25:$B$31,0),4))</x:f>
        <x:v>37791.36000000001</x:v>
      </x:c>
      <x:c r="I46" s="176" t="n">
        <x:f>IF($D46="","",$D46*INDEX('Допущения'!$C$25:$G$31,MATCH($C46,'Допущения'!$B$25:$B$31,0),5))</x:f>
        <x:v>40814.66880000001</x:v>
      </x:c>
      <x:c r="J46" s="176" t="n">
        <x:f>SUM(E46:I46)</x:f>
        <x:v>175998.02880000003</x:v>
      </x:c>
      <x:c r="K46" s="180"/>
      <x:c r="L46" s="188" t="s">
        <x:v>135</x:v>
      </x:c>
    </x:row>
    <x:row r="47">
      <x:c r="A47"/>
      <x:c r="B47" s="89"/>
      <x:c r="C47" s="146" t="str">
        <x:v>фикс</x:v>
      </x:c>
      <x:c r="D47" s="175"/>
      <x:c r="E47" s="176" t="str">
        <x:f>IF($D47="","",$D47*INDEX('Допущения'!$C$25:$G$31,MATCH($C47,'Допущения'!$B$25:$B$31,0),1))</x:f>
      </x:c>
      <x:c r="F47" s="176" t="str">
        <x:f>IF($D47="","",$D47*INDEX('Допущения'!$C$25:$G$31,MATCH($C47,'Допущения'!$B$25:$B$31,0),2))</x:f>
      </x:c>
      <x:c r="G47" s="176" t="str">
        <x:f>IF($D47="","",$D47*INDEX('Допущения'!$C$25:$G$31,MATCH($C47,'Допущения'!$B$25:$B$31,0),3))</x:f>
      </x:c>
      <x:c r="H47" s="176" t="str">
        <x:f>IF($D47="","",$D47*INDEX('Допущения'!$C$25:$G$31,MATCH($C47,'Допущения'!$B$25:$B$31,0),4))</x:f>
      </x:c>
      <x:c r="I47" s="176" t="str">
        <x:f>IF($D47="","",$D47*INDEX('Допущения'!$C$25:$G$31,MATCH($C47,'Допущения'!$B$25:$B$31,0),5))</x:f>
      </x:c>
      <x:c r="J47" s="176" t="n">
        <x:f>SUM(E47:I47)</x:f>
        <x:v>0</x:v>
      </x:c>
      <x:c r="K47" s="180"/>
      <x:c r="L47" s="188" t="s">
        <x:v>98</x:v>
      </x:c>
    </x:row>
    <x:row r="48" ht="22" customHeight="1">
      <x:c r="A48"/>
      <x:c r="B48" s="141" t="s">
        <x:v>99</x:v>
      </x:c>
      <x:c r="C48" s="141"/>
      <x:c r="D48" s="178"/>
      <x:c r="E48" s="178" t="n">
        <x:f>SUM(E43:E47)</x:f>
        <x:v>115000</x:v>
      </x:c>
      <x:c r="F48" s="178" t="n">
        <x:f>SUM(F43:F47)</x:f>
        <x:v>55940</x:v>
      </x:c>
      <x:c r="G48" s="178" t="n">
        <x:f>SUM(G43:G47)</x:f>
        <x:v>60179.8</x:v>
      </x:c>
      <x:c r="H48" s="178" t="n">
        <x:f>SUM(H43:H47)</x:f>
        <x:v>64742.30600000001</x:v>
      </x:c>
      <x:c r="I48" s="178" t="n">
        <x:f>SUM(I43:I47)</x:f>
        <x:v>69652.18102000002</x:v>
      </x:c>
      <x:c r="J48" s="178" t="n">
        <x:f>SUM(E48:I48)</x:f>
        <x:v>365514.28702000005</x:v>
      </x:c>
      <x:c r="K48" s="182" t="n">
        <x:f>J48/$J$51</x:f>
        <x:v>0.004658230008854431</x:v>
      </x:c>
      <x:c r="L48" s="189"/>
    </x:row>
    <x:row r="49">
      <x:c r="A49"/>
      <x:c r="B49" s="89"/>
      <x:c r="C49" s="89"/>
      <x:c r="D49" s="176"/>
      <x:c r="E49" s="176"/>
      <x:c r="F49" s="176"/>
      <x:c r="G49" s="176"/>
      <x:c r="H49" s="176"/>
      <x:c r="I49" s="176"/>
      <x:c r="J49" s="176"/>
      <x:c r="K49" s="180"/>
      <x:c r="L49" s="188"/>
    </x:row>
    <x:row r="50" ht="22" customHeight="1">
      <x:c r="A50"/>
      <x:c r="B50" s="89" t="s">
        <x:v>136</x:v>
      </x:c>
      <x:c r="C50" s="89"/>
      <x:c r="D50" s="176"/>
      <x:c r="E50" s="176" t="n">
        <x:f>(E15+E24+E32+E40+E48)*'Допущения'!$C$17</x:f>
        <x:v>285570</x:v>
      </x:c>
      <x:c r="F50" s="176" t="n">
        <x:f>(F15+F24+F32+F40+F48)*'Допущения'!$C$17</x:f>
        <x:v>698735.4</x:v>
      </x:c>
      <x:c r="G50" s="176" t="n">
        <x:f>(G15+G24+G32+G40+G48)*'Допущения'!$C$17</x:f>
        <x:v>1497522.678</x:v>
      </x:c>
      <x:c r="H50" s="176" t="n">
        <x:f>(H15+H24+H32+H40+H48)*'Допущения'!$C$17</x:f>
        <x:v>2906676.33906</x:v>
      </x:c>
      <x:c r="I50" s="176" t="n">
        <x:f>(I15+I24+I32+I40+I48)*'Допущения'!$C$17</x:f>
        <x:v>4846236.3486822</x:v>
      </x:c>
      <x:c r="J50" s="176" t="n">
        <x:f>SUM(E50:I50)</x:f>
        <x:v>10234740.765742201</x:v>
      </x:c>
      <x:c r="K50" s="180"/>
      <x:c r="L50" s="188" t="s">
        <x:v>137</x:v>
      </x:c>
    </x:row>
    <x:row r="51" ht="22" customHeight="1">
      <x:c r="A51"/>
      <x:c r="B51" s="141" t="s">
        <x:v>138</x:v>
      </x:c>
      <x:c r="C51" s="141"/>
      <x:c r="D51" s="178"/>
      <x:c r="E51" s="178" t="n">
        <x:f>E15+E24+E32+E40+E48+E50</x:f>
        <x:v>2189370</x:v>
      </x:c>
      <x:c r="F51" s="178" t="n">
        <x:f>F15+F24+F32+F40+F48+F50</x:f>
        <x:v>5356971.4</x:v>
      </x:c>
      <x:c r="G51" s="178" t="n">
        <x:f>G15+G24+G32+G40+G48+G50</x:f>
        <x:v>11481007.198</x:v>
      </x:c>
      <x:c r="H51" s="178" t="n">
        <x:f>H15+H24+H32+H40+H48+H50</x:f>
        <x:v>22284518.599460002</x:v>
      </x:c>
      <x:c r="I51" s="178" t="n">
        <x:f>I15+I24+I32+I40+I48+I50</x:f>
        <x:v>37154478.6732302</x:v>
      </x:c>
      <x:c r="J51" s="178" t="n">
        <x:f>SUM(E51:I51)</x:f>
        <x:v>78466345.8706902</x:v>
      </x:c>
      <x:c r="K51" s="182"/>
      <x:c r="L51" s="189"/>
    </x:row>
    <x:row r="52" ht="22" customHeight="1">
      <x:c r="A52"/>
      <x:c r="B52" s="130" t="s">
        <x:v>139</x:v>
      </x:c>
      <x:c r="C52" s="130"/>
      <x:c r="D52" s="214"/>
      <x:c r="E52" s="214"/>
      <x:c r="F52" s="214"/>
      <x:c r="G52" s="214"/>
      <x:c r="H52" s="214"/>
      <x:c r="I52" s="214"/>
      <x:c r="J52" s="214"/>
      <x:c r="K52" s="215"/>
      <x:c r="L52" s="191"/>
    </x:row>
    <x:row r="53" ht="22" customHeight="1">
      <x:c r="A53"/>
      <x:c r="B53" s="89" t="s">
        <x:v>140</x:v>
      </x:c>
      <x:c r="C53" s="89"/>
      <x:c r="D53" s="176"/>
      <x:c r="E53" s="176" t="n">
        <x:f>(1-'Допущения'!$C$20)*525600*'Допущения'!$C$19*'Допущения'!$C$21</x:f>
        <x:v>3153599.999999653</x:v>
      </x:c>
      <x:c r="F53" s="176" t="n">
        <x:f>(1-'Допущения'!$C$20)*525600*'Допущения'!$C$19*'Допущения'!$C$21</x:f>
        <x:v>3153599.999999653</x:v>
      </x:c>
      <x:c r="G53" s="176" t="n">
        <x:f>(1-'Допущения'!$C$20)*525600*'Допущения'!$C$19*'Допущения'!$C$21</x:f>
        <x:v>3153599.999999653</x:v>
      </x:c>
      <x:c r="H53" s="176" t="n">
        <x:f>(1-'Допущения'!$C$20)*525600*'Допущения'!$C$19*'Допущения'!$C$21</x:f>
        <x:v>3153599.999999653</x:v>
      </x:c>
      <x:c r="I53" s="176" t="n">
        <x:f>(1-'Допущения'!$C$20)*525600*'Допущения'!$C$19*'Допущения'!$C$21</x:f>
        <x:v>3153599.999999653</x:v>
      </x:c>
      <x:c r="J53" s="176" t="n">
        <x:f>SUM(E53:I53)</x:f>
        <x:v>15767999.999998266</x:v>
      </x:c>
      <x:c r="K53" s="180"/>
      <x:c r="L53" s="188" t="s">
        <x:v>141</x:v>
      </x:c>
    </x:row>
    <x:row r="54" ht="22" customHeight="1">
      <x:c r="A54"/>
      <x:c r="B54" s="141" t="s">
        <x:v>142</x:v>
      </x:c>
      <x:c r="C54" s="141"/>
      <x:c r="D54" s="178"/>
      <x:c r="E54" s="178" t="n">
        <x:f>E51+E53</x:f>
        <x:v>5342969.999999654</x:v>
      </x:c>
      <x:c r="F54" s="178" t="n">
        <x:f>F51+F53</x:f>
        <x:v>8510571.399999654</x:v>
      </x:c>
      <x:c r="G54" s="178" t="n">
        <x:f>G51+G53</x:f>
        <x:v>14634607.197999654</x:v>
      </x:c>
      <x:c r="H54" s="178" t="n">
        <x:f>H51+H53</x:f>
        <x:v>25438118.599459656</x:v>
      </x:c>
      <x:c r="I54" s="178" t="n">
        <x:f>I51+I53</x:f>
        <x:v>40308078.67322985</x:v>
      </x:c>
      <x:c r="J54" s="178" t="n">
        <x:f>SUM(E54:I54)</x:f>
        <x:v>94234345.87068847</x:v>
      </x:c>
      <x:c r="K54" s="182"/>
      <x:c r="L54" s="189"/>
    </x:row>
    <x:row r="55" ht="22" customHeight="1">
      <x:c r="A55"/>
      <x:c r="B55" s="89" t="s">
        <x:v>143</x:v>
      </x:c>
      <x:c r="C55" s="89"/>
      <x:c r="D55" s="176"/>
      <x:c r="E55" s="216" t="n">
        <x:f>1</x:f>
        <x:v>1</x:v>
      </x:c>
      <x:c r="F55" s="216" t="n">
        <x:f>1/(1+'Допущения'!$C$16)^1</x:f>
        <x:v>0.8333333333333334</x:v>
      </x:c>
      <x:c r="G55" s="216" t="n">
        <x:f>1/(1+'Допущения'!$C$16)^2</x:f>
        <x:v>0.6944444444444444</x:v>
      </x:c>
      <x:c r="H55" s="216" t="n">
        <x:f>1/(1+'Допущения'!$C$16)^3</x:f>
        <x:v>0.5787037037037038</x:v>
      </x:c>
      <x:c r="I55" s="216" t="n">
        <x:f>1/(1+'Допущения'!$C$16)^4</x:f>
        <x:v>0.4822530864197531</x:v>
      </x:c>
      <x:c r="J55" s="176"/>
      <x:c r="K55" s="180"/>
      <x:c r="L55" s="188"/>
    </x:row>
    <x:row r="56" ht="22" customHeight="1">
      <x:c r="A56"/>
      <x:c r="B56" s="141" t="s">
        <x:v>144</x:v>
      </x:c>
      <x:c r="C56" s="141"/>
      <x:c r="D56" s="178"/>
      <x:c r="E56" s="178" t="n">
        <x:f>E54*E55</x:f>
        <x:v>5342969.999999654</x:v>
      </x:c>
      <x:c r="F56" s="178" t="n">
        <x:f>F54*F55</x:f>
        <x:v>7092142.833333045</x:v>
      </x:c>
      <x:c r="G56" s="178" t="n">
        <x:f>G54*G55</x:f>
        <x:v>10162921.665277537</x:v>
      </x:c>
      <x:c r="H56" s="178" t="n">
        <x:f>H54*H55</x:f>
        <x:v>14721133.448761377</x:v>
      </x:c>
      <x:c r="I56" s="178" t="n">
        <x:f>I54*I55</x:f>
        <x:v>19438695.347815324</x:v>
      </x:c>
      <x:c r="J56" s="178" t="n">
        <x:f>SUM(E56:I56)</x:f>
        <x:v>56757863.29518694</x:v>
      </x:c>
      <x:c r="K56" s="182"/>
      <x:c r="L56" s="189"/>
    </x:row>
    <x:row r="57">
      <x:c r="A57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188"/>
    </x:row>
    <x:row r="58" ht="22" customHeight="1">
      <x:c r="A58"/>
      <x:c r="B58" s="130" t="s">
        <x:v>145</x:v>
      </x:c>
      <x:c r="C58" s="130"/>
      <x:c r="D58" s="130"/>
      <x:c r="E58" s="130"/>
      <x:c r="F58" s="130"/>
      <x:c r="G58" s="130"/>
      <x:c r="H58" s="130"/>
      <x:c r="I58" s="130"/>
      <x:c r="J58" s="130"/>
      <x:c r="K58" s="130"/>
      <x:c r="L58" s="191"/>
    </x:row>
    <x:row r="59">
      <x:c r="A59"/>
      <x:c r="B59" s="211" t="s">
        <x:v>146</x:v>
      </x:c>
      <x:c r="C59" s="148"/>
      <x:c r="D59" s="148"/>
      <x:c r="E59" s="217" t="n">
        <x:f>J51</x:f>
        <x:v>78466345.8706902</x:v>
      </x:c>
      <x:c r="F59" s="89"/>
      <x:c r="G59" s="89"/>
      <x:c r="H59" s="89"/>
      <x:c r="I59" s="89"/>
      <x:c r="J59" s="89"/>
      <x:c r="K59" s="89"/>
      <x:c r="L59" s="188" t="s">
        <x:v>147</x:v>
      </x:c>
    </x:row>
    <x:row r="60">
      <x:c r="A60"/>
      <x:c r="B60" s="211" t="s">
        <x:v>148</x:v>
      </x:c>
      <x:c r="C60" s="148"/>
      <x:c r="D60" s="148"/>
      <x:c r="E60" s="217" t="n">
        <x:f>J54</x:f>
        <x:v>94234345.87068847</x:v>
      </x:c>
      <x:c r="F60" s="89"/>
      <x:c r="G60" s="89"/>
      <x:c r="H60" s="89"/>
      <x:c r="I60" s="89"/>
      <x:c r="J60" s="89"/>
      <x:c r="K60" s="89"/>
      <x:c r="L60" s="188" t="s">
        <x:v>149</x:v>
      </x:c>
    </x:row>
    <x:row r="61">
      <x:c r="A61"/>
      <x:c r="B61" s="211" t="s">
        <x:v>150</x:v>
      </x:c>
      <x:c r="C61" s="148"/>
      <x:c r="D61" s="148"/>
      <x:c r="E61" s="217" t="n">
        <x:f>J56</x:f>
        <x:v>56757863.29518694</x:v>
      </x:c>
      <x:c r="F61" s="89"/>
      <x:c r="G61" s="89"/>
      <x:c r="H61" s="89"/>
      <x:c r="I61" s="89"/>
      <x:c r="J61" s="89"/>
      <x:c r="K61" s="89"/>
      <x:c r="L61" s="188" t="s">
        <x:v>151</x:v>
      </x:c>
    </x:row>
    <x:row r="62">
      <x:c r="A62"/>
      <x:c r="B62" s="211" t="s">
        <x:v>152</x:v>
      </x:c>
      <x:c r="C62" s="148"/>
      <x:c r="D62" s="148"/>
      <x:c r="E62" s="217" t="n">
        <x:f>J51/5</x:f>
        <x:v>15693269.17413804</x:v>
      </x:c>
      <x:c r="F62" s="89"/>
      <x:c r="G62" s="89"/>
      <x:c r="H62" s="89"/>
      <x:c r="I62" s="89"/>
      <x:c r="J62" s="89"/>
      <x:c r="K62" s="89"/>
      <x:c r="L62" s="188" t="s">
        <x:v>153</x:v>
      </x:c>
    </x:row>
    <x:row r="63">
      <x:c r="A63"/>
      <x:c r="B63" s="211" t="s">
        <x:v>154</x:v>
      </x:c>
      <x:c r="C63" s="148"/>
      <x:c r="D63" s="148"/>
      <x:c r="E63" s="217" t="n">
        <x:f>E15/12</x:f>
        <x:v>10100</x:v>
      </x:c>
      <x:c r="F63" s="89"/>
      <x:c r="G63" s="89"/>
      <x:c r="H63" s="89"/>
      <x:c r="I63" s="89"/>
      <x:c r="J63" s="89"/>
      <x:c r="K63" s="89"/>
      <x:c r="L63" s="188" t="s">
        <x:v>155</x:v>
      </x:c>
    </x:row>
    <x:row r="64">
      <x:c r="A64"/>
      <x:c r="B64" s="211" t="s">
        <x:v>156</x:v>
      </x:c>
      <x:c r="C64" s="148"/>
      <x:c r="D64" s="148"/>
      <x:c r="E64" s="148" t="str">
        <x:f>IF(E15/12&lt;='Допущения'!$C$18,"В бюджете CFO","ПРЕВЫШЕНИЕ бюджета")</x:f>
        <x:v>ПРЕВЫШЕНИЕ бюджета</x:v>
      </x:c>
      <x:c r="F64" s="89"/>
      <x:c r="G64" s="89"/>
      <x:c r="H64" s="89"/>
      <x:c r="I64" s="89"/>
      <x:c r="J64" s="89"/>
      <x:c r="K64" s="89"/>
      <x:c r="L64" s="188" t="s">
        <x:v>157</x:v>
      </x:c>
    </x:row>
    <x:row r="65">
      <x:c r="A65"/>
      <x:c r="B65" s="211" t="s">
        <x:v>158</x:v>
      </x:c>
      <x:c r="C65" s="148"/>
      <x:c r="D65" s="148"/>
      <x:c r="E65" s="218" t="n">
        <x:f>J51/SUM('Допущения'!$C$8:$G$8)</x:f>
        <x:v>0.9545784169183722</x:v>
      </x:c>
      <x:c r="F65" s="89"/>
      <x:c r="G65" s="89"/>
      <x:c r="H65" s="89"/>
      <x:c r="I65" s="89"/>
      <x:c r="J65" s="89"/>
      <x:c r="K65" s="89"/>
      <x:c r="L65" s="188" t="s">
        <x:v>159</x:v>
      </x:c>
    </x:row>
    <x:row r="66">
      <x:c r="A66"/>
      <x:c r="B66" s="211" t="s">
        <x:v>160</x:v>
      </x:c>
      <x:c r="C66" s="148"/>
      <x:c r="D66" s="148"/>
      <x:c r="E66" s="218" t="n">
        <x:f>I51/'Допущения'!$G$7</x:f>
        <x:v>3.7154478673230202</x:v>
      </x:c>
      <x:c r="F66" s="89"/>
      <x:c r="G66" s="89"/>
      <x:c r="H66" s="89"/>
      <x:c r="I66" s="89"/>
      <x:c r="J66" s="89"/>
      <x:c r="K66" s="89"/>
      <x:c r="L66" s="188" t="s">
        <x:v>161</x:v>
      </x:c>
    </x:row>
    <x:row r="67">
      <x:c r="A67"/>
      <x:c r="B67" s="211" t="s">
        <x:v>162</x:v>
      </x:c>
      <x:c r="C67" s="148"/>
      <x:c r="D67" s="148"/>
      <x:c r="E67" s="219" t="n">
        <x:f>J51/SUM('Допущения'!$C$10:$G$10)</x:f>
        <x:v>0.03791743784222006</x:v>
      </x:c>
      <x:c r="F67" s="89"/>
      <x:c r="G67" s="89"/>
      <x:c r="H67" s="89"/>
      <x:c r="I67" s="89"/>
      <x:c r="J67" s="89"/>
      <x:c r="K67" s="89"/>
      <x:c r="L67" s="188" t="s">
        <x:v>163</x:v>
      </x:c>
    </x:row>
    <x:row r="68">
      <x:c r="A68"/>
      <x:c r="B68" s="211" t="s">
        <x:v>164</x:v>
      </x:c>
      <x:c r="C68" s="148"/>
      <x:c r="D68" s="148"/>
      <x:c r="E68" s="219" t="n">
        <x:f>J15/J51</x:f>
        <x:v>0.023773317084831793</x:v>
      </x:c>
      <x:c r="F68" s="89"/>
      <x:c r="G68" s="89"/>
      <x:c r="H68" s="89"/>
      <x:c r="I68" s="89"/>
      <x:c r="J68" s="89"/>
      <x:c r="K68" s="89"/>
      <x:c r="L68" s="188" t="s">
        <x:v>165</x:v>
      </x:c>
    </x:row>
    <x:row r="69">
      <x:c r="A69"/>
      <x:c r="B69" s="211" t="s">
        <x:v>166</x:v>
      </x:c>
      <x:c r="C69" s="148"/>
      <x:c r="D69" s="148"/>
      <x:c r="E69" s="219" t="n">
        <x:f>J32/J51</x:f>
        <x:v>0.7740108109543827</x:v>
      </x:c>
      <x:c r="F69" s="89"/>
      <x:c r="G69" s="89"/>
      <x:c r="H69" s="89"/>
      <x:c r="I69" s="89"/>
      <x:c r="J69" s="89"/>
      <x:c r="K69" s="89"/>
      <x:c r="L69" s="188" t="s">
        <x:v>167</x:v>
      </x:c>
    </x:row>
    <x:row r="70">
      <x:c r="A70"/>
      <x:c r="B70" s="211" t="s">
        <x:v>168</x:v>
      </x:c>
      <x:c r="C70" s="148"/>
      <x:c r="D70" s="148"/>
      <x:c r="E70" s="219" t="n">
        <x:f>J40/J51</x:f>
        <x:v>0.0625042283814568</x:v>
      </x:c>
      <x:c r="F70" s="89"/>
      <x:c r="G70" s="89"/>
      <x:c r="H70" s="89"/>
      <x:c r="I70" s="89"/>
      <x:c r="J70" s="89"/>
      <x:c r="K70" s="89"/>
      <x:c r="L70" s="188" t="s">
        <x:v>169</x:v>
      </x:c>
    </x:row>
    <x:row r="71">
      <x:c r="A71"/>
      <x:c r="B71" s="89"/>
      <x:c r="C71" s="89"/>
      <x:c r="D71" s="89"/>
      <x:c r="E71" s="89"/>
      <x:c r="F71" s="89"/>
      <x:c r="G71" s="89"/>
      <x:c r="H71" s="89"/>
      <x:c r="I71" s="89"/>
      <x:c r="J71" s="89"/>
      <x:c r="K71" s="89"/>
      <x:c r="L71" s="188"/>
    </x:row>
    <x:row r="72" ht="22" customHeight="1">
      <x:c r="A72"/>
      <x:c r="B72" s="130" t="s">
        <x:v>170</x:v>
      </x:c>
      <x:c r="C72" s="130"/>
      <x:c r="D72" s="130"/>
      <x:c r="E72" s="130"/>
      <x:c r="F72" s="130"/>
      <x:c r="G72" s="130"/>
      <x:c r="H72" s="130"/>
      <x:c r="I72" s="130"/>
      <x:c r="J72" s="130"/>
      <x:c r="K72" s="130"/>
      <x:c r="L72" s="191"/>
    </x:row>
    <x:row r="73">
      <x:c r="A73"/>
      <x:c r="B73" s="212" t="str">
        <x:v>Вывод для ADR</x:v>
      </x:c>
      <x:c r="C73" s="146"/>
      <x:c r="D73" s="146"/>
      <x:c r="E73" s="146"/>
      <x:c r="F73" s="146"/>
      <x:c r="G73" s="146"/>
      <x:c r="H73" s="146"/>
      <x:c r="I73" s="146"/>
      <x:c r="J73" s="146"/>
      <x:c r="K73" s="146"/>
      <x:c r="L73" s="220"/>
    </x:row>
    <x:row r="74" ht="34" customHeight="1">
      <x:c r="A74"/>
      <x:c r="B74" s="166" t="str">
        <x:v>Микросервисы и Kubernetes дают максимальную изоляцию, но в Год 1 требуют более чем двойного облачного бюджета и команды больше шести человек. Для MVP вариант отклонён.</x:v>
      </x:c>
      <x:c r="C74" s="166"/>
      <x:c r="D74" s="166"/>
      <x:c r="E74" s="166"/>
      <x:c r="F74" s="166"/>
      <x:c r="G74" s="166"/>
      <x:c r="H74" s="166"/>
      <x:c r="I74" s="166"/>
      <x:c r="J74" s="166"/>
      <x:c r="K74" s="166"/>
      <x:c r="L74" s="221"/>
    </x:row>
    <x:row r="75" ht="34" customHeight="1">
      <x:c r="A75"/>
      <x:c r="B75" s="166"/>
      <x:c r="C75" s="166"/>
      <x:c r="D75" s="166"/>
      <x:c r="E75" s="166"/>
      <x:c r="F75" s="166"/>
      <x:c r="G75" s="166"/>
      <x:c r="H75" s="166"/>
      <x:c r="I75" s="166"/>
      <x:c r="J75" s="166"/>
      <x:c r="K75" s="166"/>
      <x:c r="L75" s="221"/>
    </x:row>
  </x:sheetData>
  <x:dataValidations count="1">
    <x:dataValidation type="list" sqref="C7:C47">
      <x:formula1>"фикс,инфляция,ФОТ,пользователи,заказы,GMV,нагрузка"</x:formula1>
    </x:dataValidation>
  </x:dataValidations>
  <x:pageMargins left="0.7" right="0.7" top="0.75" bottom="0.75" header="0.3" footer="0.3"/>
</x:worksheet>
</file>